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/>
  <xr:revisionPtr revIDLastSave="0" documentId="13_ncr:1_{017678E5-77C3-47C9-A697-F7765B9F92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Q1&amp;Q2" sheetId="14" r:id="rId1"/>
    <sheet name="Derivation of GDP CP" sheetId="22" r:id="rId2"/>
    <sheet name="Sheet1" sheetId="16" state="hidden" r:id="rId3"/>
    <sheet name="Seasonally adj series" sheetId="15" r:id="rId4"/>
    <sheet name="selection" sheetId="20" r:id="rId5"/>
    <sheet name="Sheet2" sheetId="21" r:id="rId6"/>
    <sheet name="for Econ Brief" sheetId="19" r:id="rId7"/>
  </sheets>
  <definedNames>
    <definedName name="_xlnm._FilterDatabase" localSheetId="4" hidden="1">selection!$A$5:$G$5</definedName>
    <definedName name="_xlnm._FilterDatabase" localSheetId="5" hidden="1">Sheet2!$A$2:$G$2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4" i="14" l="1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I54" i="14"/>
  <c r="H54" i="14"/>
  <c r="D21" i="14"/>
  <c r="D39" i="14"/>
  <c r="G48" i="14"/>
  <c r="B49" i="14"/>
  <c r="B48" i="14"/>
  <c r="D48" i="14" s="1"/>
  <c r="G45" i="14" l="1"/>
  <c r="G46" i="14"/>
  <c r="G47" i="14"/>
  <c r="G49" i="14"/>
  <c r="F45" i="14"/>
  <c r="F46" i="14"/>
  <c r="F47" i="14"/>
  <c r="F48" i="14"/>
  <c r="F49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8" i="14"/>
  <c r="N49" i="14" l="1"/>
  <c r="M49" i="14"/>
  <c r="L49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40" i="14"/>
  <c r="D41" i="14"/>
  <c r="D42" i="14"/>
  <c r="D43" i="14"/>
  <c r="D44" i="14"/>
  <c r="D45" i="14"/>
  <c r="D46" i="14"/>
  <c r="D47" i="14"/>
  <c r="D49" i="14"/>
  <c r="D9" i="14"/>
  <c r="L48" i="14"/>
  <c r="C49" i="14"/>
  <c r="E81" i="15"/>
  <c r="F81" i="15"/>
  <c r="E82" i="15"/>
  <c r="F82" i="15"/>
  <c r="C81" i="15"/>
  <c r="C82" i="15"/>
  <c r="Q34" i="14" l="1"/>
  <c r="M81" i="14"/>
  <c r="M82" i="14" s="1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AV106" i="14"/>
  <c r="AW106" i="14"/>
  <c r="AX106" i="14"/>
  <c r="AY106" i="14"/>
  <c r="AZ106" i="14"/>
  <c r="H106" i="14"/>
  <c r="D52" i="14"/>
  <c r="H94" i="14" s="1"/>
  <c r="C52" i="14"/>
  <c r="H92" i="14" s="1"/>
  <c r="N47" i="14"/>
  <c r="C54" i="14" s="1"/>
  <c r="N48" i="14"/>
  <c r="D106" i="14" s="1"/>
  <c r="M47" i="14"/>
  <c r="D54" i="14" s="1"/>
  <c r="J94" i="14" s="1"/>
  <c r="M48" i="14"/>
  <c r="C106" i="14" s="1"/>
  <c r="L47" i="14"/>
  <c r="B106" i="14"/>
  <c r="C47" i="14"/>
  <c r="C14" i="22"/>
  <c r="C7" i="22"/>
  <c r="D8" i="22" s="1"/>
  <c r="C6" i="22"/>
  <c r="E6" i="22"/>
  <c r="M10" i="22"/>
  <c r="F6" i="22" s="1"/>
  <c r="J10" i="22"/>
  <c r="F5" i="22" s="1"/>
  <c r="G10" i="22"/>
  <c r="F4" i="22" s="1"/>
  <c r="D10" i="22"/>
  <c r="F3" i="22" s="1"/>
  <c r="B104" i="14" l="1"/>
  <c r="B54" i="14"/>
  <c r="B52" i="14"/>
  <c r="C48" i="14"/>
  <c r="A4" i="22"/>
  <c r="A5" i="22"/>
  <c r="A3" i="22"/>
  <c r="C79" i="15" l="1"/>
  <c r="E80" i="15"/>
  <c r="F80" i="15"/>
  <c r="C80" i="15"/>
  <c r="N46" i="14" l="1"/>
  <c r="M46" i="14"/>
  <c r="L46" i="14"/>
  <c r="C44" i="14"/>
  <c r="E79" i="15"/>
  <c r="L44" i="14"/>
  <c r="N45" i="14"/>
  <c r="M44" i="14"/>
  <c r="L45" i="14" l="1"/>
  <c r="M45" i="14"/>
  <c r="D104" i="14"/>
  <c r="I146" i="14" s="1"/>
  <c r="L43" i="14"/>
  <c r="C43" i="14"/>
  <c r="H62" i="14"/>
  <c r="C45" i="14" l="1"/>
  <c r="H90" i="14"/>
  <c r="C46" i="14"/>
  <c r="I59" i="14" l="1"/>
  <c r="I60" i="14"/>
  <c r="I64" i="14"/>
  <c r="I65" i="14"/>
  <c r="C104" i="14"/>
  <c r="E78" i="15" l="1"/>
  <c r="N44" i="14"/>
  <c r="L41" i="14"/>
  <c r="E77" i="15"/>
  <c r="N43" i="14"/>
  <c r="M43" i="14"/>
  <c r="M13" i="14"/>
  <c r="N13" i="14"/>
  <c r="J90" i="14"/>
  <c r="J92" i="14" l="1"/>
  <c r="N42" i="14" l="1"/>
  <c r="M42" i="14"/>
  <c r="N41" i="14"/>
  <c r="M41" i="14"/>
  <c r="M40" i="14"/>
  <c r="L42" i="14"/>
  <c r="N9" i="14"/>
  <c r="N10" i="14"/>
  <c r="N11" i="14"/>
  <c r="N1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8" i="14"/>
  <c r="M9" i="14"/>
  <c r="M10" i="14"/>
  <c r="M11" i="14"/>
  <c r="M12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8" i="14"/>
  <c r="L39" i="14"/>
  <c r="L40" i="14"/>
  <c r="L38" i="14"/>
  <c r="C78" i="15"/>
  <c r="C39" i="15"/>
  <c r="C40" i="15"/>
  <c r="C41" i="15"/>
  <c r="C51" i="15"/>
  <c r="C52" i="15"/>
  <c r="C53" i="15"/>
  <c r="C54" i="15"/>
  <c r="C55" i="15"/>
  <c r="C56" i="15"/>
  <c r="C57" i="15"/>
  <c r="C66" i="15"/>
  <c r="C71" i="15"/>
  <c r="C77" i="15"/>
  <c r="C38" i="15"/>
  <c r="F76" i="15"/>
  <c r="F77" i="15"/>
  <c r="F78" i="15"/>
  <c r="E76" i="15" l="1"/>
  <c r="F79" i="15"/>
  <c r="C73" i="15"/>
  <c r="C59" i="15"/>
  <c r="C58" i="15"/>
  <c r="C46" i="15"/>
  <c r="C67" i="15"/>
  <c r="C72" i="15"/>
  <c r="C76" i="15"/>
  <c r="C69" i="15"/>
  <c r="C68" i="15"/>
  <c r="C70" i="15"/>
  <c r="C50" i="15"/>
  <c r="C42" i="15"/>
  <c r="C75" i="15"/>
  <c r="C48" i="15"/>
  <c r="C49" i="15"/>
  <c r="C47" i="15"/>
  <c r="C61" i="15"/>
  <c r="C60" i="15"/>
  <c r="C42" i="14"/>
  <c r="C65" i="15"/>
  <c r="C45" i="15"/>
  <c r="C64" i="15"/>
  <c r="C44" i="15"/>
  <c r="C63" i="15"/>
  <c r="C43" i="15"/>
  <c r="C62" i="15"/>
  <c r="C74" i="15"/>
  <c r="F34" i="15"/>
  <c r="F35" i="15"/>
  <c r="F36" i="15"/>
  <c r="F37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6" i="15"/>
  <c r="C6" i="15"/>
  <c r="E5" i="15" l="1"/>
  <c r="H112" i="14"/>
  <c r="L9" i="14" l="1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8" i="14"/>
  <c r="E3" i="15"/>
  <c r="F39" i="15"/>
  <c r="F40" i="15"/>
  <c r="F41" i="15"/>
  <c r="F42" i="15"/>
  <c r="F43" i="15"/>
  <c r="F44" i="15"/>
  <c r="F45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4" i="15"/>
  <c r="F65" i="15"/>
  <c r="F70" i="15"/>
  <c r="F71" i="15"/>
  <c r="F72" i="15"/>
  <c r="F73" i="15"/>
  <c r="F74" i="15"/>
  <c r="F75" i="15"/>
  <c r="F38" i="15"/>
  <c r="F69" i="15" l="1"/>
  <c r="F48" i="15"/>
  <c r="F49" i="15"/>
  <c r="F67" i="15"/>
  <c r="F47" i="15"/>
  <c r="F63" i="15"/>
  <c r="F68" i="15"/>
  <c r="F66" i="15"/>
  <c r="F46" i="15"/>
  <c r="C40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E75" i="15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M154" i="14"/>
  <c r="L154" i="14"/>
  <c r="K154" i="14"/>
  <c r="E74" i="15"/>
  <c r="I109" i="14" l="1"/>
  <c r="P153" i="14"/>
  <c r="I110" i="14"/>
  <c r="C41" i="14"/>
  <c r="B57" i="14" l="1"/>
  <c r="M153" i="14"/>
  <c r="M157" i="14" s="1"/>
  <c r="E71" i="15"/>
  <c r="E73" i="15"/>
  <c r="K153" i="14"/>
  <c r="K157" i="14" s="1"/>
  <c r="L153" i="14" l="1"/>
  <c r="L157" i="14" s="1"/>
  <c r="O153" i="14"/>
  <c r="O157" i="14" s="1"/>
  <c r="E72" i="15"/>
  <c r="E54" i="15"/>
  <c r="J153" i="14" l="1"/>
  <c r="N153" i="14" s="1"/>
  <c r="N156" i="14" s="1"/>
  <c r="J154" i="14"/>
  <c r="E70" i="15"/>
  <c r="E69" i="15"/>
  <c r="E68" i="15"/>
  <c r="J157" i="14" l="1"/>
  <c r="N154" i="14"/>
  <c r="N157" i="14" s="1"/>
  <c r="I142" i="14"/>
  <c r="E67" i="15" l="1"/>
  <c r="I115" i="14" l="1"/>
  <c r="I114" i="14"/>
  <c r="E63" i="15" l="1"/>
  <c r="E64" i="15"/>
  <c r="E65" i="15"/>
  <c r="E66" i="15"/>
  <c r="E61" i="15" l="1"/>
  <c r="E62" i="15"/>
  <c r="E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5" i="15"/>
  <c r="E56" i="15"/>
  <c r="E57" i="15"/>
  <c r="E58" i="15"/>
  <c r="E59" i="15"/>
  <c r="E60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K146" i="14"/>
  <c r="I144" i="14" l="1"/>
  <c r="K144" i="14" l="1"/>
  <c r="K142" i="14" l="1"/>
  <c r="D8" i="14" l="1"/>
</calcChain>
</file>

<file path=xl/sharedStrings.xml><?xml version="1.0" encoding="utf-8"?>
<sst xmlns="http://schemas.openxmlformats.org/spreadsheetml/2006/main" count="708" uniqueCount="275">
  <si>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</si>
  <si>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</si>
  <si>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</si>
  <si>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</si>
  <si>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</si>
  <si>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</si>
  <si>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</si>
  <si>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</si>
  <si>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Variables in level</t>
  </si>
  <si>
    <t>2017Q1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</si>
  <si>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</si>
  <si>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</si>
  <si>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</si>
  <si>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</si>
  <si>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</si>
  <si>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</si>
  <si>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</si>
  <si>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</si>
  <si>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</si>
  <si>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</si>
  <si>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</si>
  <si>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</si>
  <si>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</si>
  <si>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</si>
  <si>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</si>
  <si>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</si>
  <si>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</si>
  <si>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</si>
  <si>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</si>
  <si>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</si>
  <si>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</si>
  <si>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</si>
  <si>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</si>
  <si>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</si>
  <si>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</si>
  <si>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</si>
  <si>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</si>
  <si>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</si>
  <si>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</si>
  <si>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</si>
  <si>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</si>
  <si>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</si>
  <si>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</si>
  <si>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</si>
  <si>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</si>
  <si>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</si>
  <si>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2017Q2</t>
  </si>
  <si>
    <t>2017Q3</t>
  </si>
  <si>
    <t>2017Q4</t>
  </si>
  <si>
    <t>2018Q1</t>
  </si>
  <si>
    <t>2018Q2</t>
  </si>
  <si>
    <t>cement_production</t>
  </si>
  <si>
    <t xml:space="preserve">cement_imports </t>
  </si>
  <si>
    <t>Total_Cement</t>
  </si>
  <si>
    <t>cpi</t>
  </si>
  <si>
    <t>exp_val</t>
  </si>
  <si>
    <t>exp_vol</t>
  </si>
  <si>
    <t>imp_cif</t>
  </si>
  <si>
    <t>imp_vol</t>
  </si>
  <si>
    <t>m3</t>
  </si>
  <si>
    <t>water</t>
  </si>
  <si>
    <t xml:space="preserve">flour_production </t>
  </si>
  <si>
    <t>Max</t>
  </si>
  <si>
    <t>Min</t>
  </si>
  <si>
    <t>mle1</t>
  </si>
  <si>
    <t>mle2</t>
  </si>
  <si>
    <t>mle3</t>
  </si>
  <si>
    <t>vcm</t>
  </si>
  <si>
    <t>2018Q3</t>
  </si>
  <si>
    <t>Agriculture_exp_val</t>
  </si>
  <si>
    <t>Agriculture_exp_vol</t>
  </si>
  <si>
    <t>cpi_Food</t>
  </si>
  <si>
    <t xml:space="preserve">credit_priv_sector </t>
  </si>
  <si>
    <t xml:space="preserve">electricity_prod </t>
  </si>
  <si>
    <t>Import_petroleum_products</t>
  </si>
  <si>
    <t xml:space="preserve">milk_production 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</si>
  <si>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</si>
  <si>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</si>
  <si>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</si>
  <si>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</si>
  <si>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</si>
  <si>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</si>
  <si>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</si>
  <si>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turnovers_industry</t>
  </si>
  <si>
    <t>turnovers_services</t>
  </si>
  <si>
    <t>VAT_receipts</t>
  </si>
  <si>
    <t>RGDP_FINAL</t>
  </si>
  <si>
    <t>RGDP_MLE</t>
  </si>
  <si>
    <t>RGDP_BE</t>
  </si>
  <si>
    <t>BE_VCM</t>
  </si>
  <si>
    <t>BE</t>
  </si>
  <si>
    <t>2018Q4</t>
  </si>
  <si>
    <t>RGDP</t>
  </si>
  <si>
    <t>Lower bound</t>
  </si>
  <si>
    <t>Upper bound</t>
  </si>
  <si>
    <t>REAL_GDP_AGR_EXP_VAL_F</t>
  </si>
  <si>
    <t>REAL_GDP_AGR_EXP_VOL_F</t>
  </si>
  <si>
    <t>REAL_GDP_CEMENT_IMP_F</t>
  </si>
  <si>
    <t>REAL_GDP_CEMENT_PROD_F</t>
  </si>
  <si>
    <t>REAL_GDP_CPI_F</t>
  </si>
  <si>
    <t>REAL_GDP_CPI_FOOD_F</t>
  </si>
  <si>
    <t>REAL_GDP_ELEC_PROD_F</t>
  </si>
  <si>
    <t>REAL_GDP_EXP_VAL_F</t>
  </si>
  <si>
    <t>REAL_GDP_EXP_VOL_F</t>
  </si>
  <si>
    <t>REAL_GDP_F</t>
  </si>
  <si>
    <t>REAL_GDP_FLOUR_PROD_F</t>
  </si>
  <si>
    <t>REAL_GDP_IMP_PETR_PROD_F</t>
  </si>
  <si>
    <t>REAL_GDP_IMP_VOL_F</t>
  </si>
  <si>
    <t>REAL_GDP_IMPORT_CIF_F</t>
  </si>
  <si>
    <t>REAL_GDP_M3_F</t>
  </si>
  <si>
    <t>REAL_GDP_MILK_PROD_F</t>
  </si>
  <si>
    <t>REAL_GDP_MODERN_BEER_F</t>
  </si>
  <si>
    <t>REAL_GDP_NER_EOP_F</t>
  </si>
  <si>
    <t>REAL_GDP_NOM_CIEA_F</t>
  </si>
  <si>
    <t>REAL_GDP_PPI_F</t>
  </si>
  <si>
    <t>REAL_GDP_REAL_CIEA_F</t>
  </si>
  <si>
    <t>REAL_GDP_RICE_PROD_F</t>
  </si>
  <si>
    <t>REAL_GDP_SOFT_DRINK_F</t>
  </si>
  <si>
    <t>REAL_GDP_TOTAL_CEMENT_F</t>
  </si>
  <si>
    <t>REAL_GDP_TURNOVER_INDUST_F</t>
  </si>
  <si>
    <t>REAL_GDP_TURNOVER_SERVICE_F</t>
  </si>
  <si>
    <t>REAL_GDP_VAT_RECEIPT_F</t>
  </si>
  <si>
    <t>REAL_GDP_WATER_F</t>
  </si>
  <si>
    <t>2019Q1</t>
  </si>
  <si>
    <t>MLE</t>
  </si>
  <si>
    <t>GDP</t>
  </si>
  <si>
    <t>2019Q2</t>
  </si>
  <si>
    <t>IIP</t>
  </si>
  <si>
    <t>2019Q3</t>
  </si>
  <si>
    <t>2019Q4</t>
  </si>
  <si>
    <t>2020Q1</t>
  </si>
  <si>
    <t>Average level</t>
  </si>
  <si>
    <t>exp_3ts_val</t>
  </si>
  <si>
    <t>exp_3ts_vol</t>
  </si>
  <si>
    <t>Imp_Cap_val</t>
  </si>
  <si>
    <t>Imp_Cap_vol</t>
  </si>
  <si>
    <t>Imp_consumer_val</t>
  </si>
  <si>
    <t>Imp_consumer_vol</t>
  </si>
  <si>
    <t>Imp_Interm_val</t>
  </si>
  <si>
    <t>Imp_Interm_vol</t>
  </si>
  <si>
    <t>M3</t>
  </si>
  <si>
    <t>Turnovers_Construction</t>
  </si>
  <si>
    <t>Turnovers_Financial</t>
  </si>
  <si>
    <t>Turnovers_Hotel</t>
  </si>
  <si>
    <t>Turnovers_Manuf</t>
  </si>
  <si>
    <t>Turnovers_Trade</t>
  </si>
  <si>
    <t>Turnovers_Transport</t>
  </si>
  <si>
    <t>2020Q2</t>
  </si>
  <si>
    <t>2020Q3</t>
  </si>
  <si>
    <t>Q1</t>
  </si>
  <si>
    <t>Q2</t>
  </si>
  <si>
    <t>Q3</t>
  </si>
  <si>
    <t>Q4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</si>
  <si>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</si>
  <si>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</si>
  <si>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</si>
  <si>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</si>
  <si>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</si>
  <si>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</si>
  <si>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</si>
  <si>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</si>
  <si>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</si>
  <si>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</si>
  <si>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</si>
  <si>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</si>
  <si>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</si>
  <si>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MSE Ranks</t>
  </si>
  <si>
    <t>2024Q1</t>
  </si>
  <si>
    <t>NGDP</t>
  </si>
  <si>
    <t xml:space="preserve">GDP Deflator </t>
  </si>
  <si>
    <t>2024Q2</t>
  </si>
  <si>
    <t>RGDP forecast_sa</t>
  </si>
  <si>
    <t>RGDP, % QoQ</t>
  </si>
  <si>
    <t>RGDP, % yoy</t>
  </si>
  <si>
    <t>RGDP MLE</t>
  </si>
  <si>
    <t>RGDP BE</t>
  </si>
  <si>
    <t>MSE</t>
  </si>
  <si>
    <t>2023, yoy %</t>
  </si>
  <si>
    <t>2024, yoy %</t>
  </si>
  <si>
    <t>Mean, %</t>
  </si>
  <si>
    <t>Median, %</t>
  </si>
  <si>
    <t>Max, %</t>
  </si>
  <si>
    <t>Min, %</t>
  </si>
  <si>
    <t>Average, level</t>
  </si>
  <si>
    <t>Nowcast</t>
  </si>
  <si>
    <t>Deviation</t>
  </si>
  <si>
    <t>Actual NISR</t>
  </si>
  <si>
    <t>intMF proj, ann. %</t>
  </si>
  <si>
    <t>RGDP_forecast</t>
  </si>
  <si>
    <t>RGDP_forecast(sa)</t>
  </si>
  <si>
    <t>RGDP forecast_su</t>
  </si>
  <si>
    <t>2024Q3</t>
  </si>
  <si>
    <t>Forecast</t>
  </si>
  <si>
    <t>RMSE</t>
  </si>
  <si>
    <t>MAE</t>
  </si>
  <si>
    <t>MAPE</t>
  </si>
  <si>
    <t>SMAPE</t>
  </si>
  <si>
    <t>Theil U1</t>
  </si>
  <si>
    <t>Theil U2</t>
  </si>
  <si>
    <t>REAL_GDP_CEM_PROD_F</t>
  </si>
  <si>
    <t>REAL_GDP_CRED_PRIV_SEC_F</t>
  </si>
  <si>
    <t>REAL_GDP_EXP_3TS_VAL_F</t>
  </si>
  <si>
    <t>REAL_GDP_EXP_3TS_VOL_F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</si>
  <si>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</si>
  <si>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</si>
  <si>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</si>
  <si>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</si>
  <si>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</si>
  <si>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</si>
  <si>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</si>
  <si>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</si>
  <si>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</si>
  <si>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</si>
  <si>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REAL_GDP_NER_EOP_USD_F</t>
  </si>
  <si>
    <t>REAL_GDP_PPI_ALL_RWA_F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</si>
  <si>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</si>
  <si>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</si>
  <si>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</si>
  <si>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</si>
  <si>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</si>
  <si>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</si>
  <si>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</si>
  <si>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</si>
  <si>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</si>
  <si>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MSE ranks</t>
  </si>
  <si>
    <t>RGDP_forecast (not sa), yoy %</t>
  </si>
  <si>
    <t>RGDP_forecast(sa), yoy %</t>
  </si>
  <si>
    <t>RGDP_forecast(sa), qoq % ann.</t>
  </si>
  <si>
    <t>March</t>
  </si>
  <si>
    <t>Q1 (Jan - March)</t>
  </si>
  <si>
    <t>Real CIEA</t>
  </si>
  <si>
    <t>Total turnovers (Real)</t>
  </si>
  <si>
    <t>Industry</t>
  </si>
  <si>
    <t>Services</t>
  </si>
  <si>
    <t>Total turnovers (Nominal)</t>
  </si>
  <si>
    <t>GDP MLE %</t>
  </si>
  <si>
    <t>GDP BE %</t>
  </si>
  <si>
    <t>RGDP forecast_su %</t>
  </si>
  <si>
    <t>GDP final s.a</t>
  </si>
  <si>
    <t>2024Q4</t>
  </si>
  <si>
    <t>2025Q1</t>
  </si>
  <si>
    <t>Simple mean</t>
  </si>
  <si>
    <t>Trimmed mean</t>
  </si>
  <si>
    <t>Simple median</t>
  </si>
  <si>
    <t>Least-squares</t>
  </si>
  <si>
    <t xml:space="preserve"> NA</t>
  </si>
  <si>
    <t>Mean square error</t>
  </si>
  <si>
    <t>2025Q2</t>
  </si>
  <si>
    <t>2025 Q2</t>
  </si>
  <si>
    <t>2025Q3</t>
  </si>
  <si>
    <t>2025 Q3</t>
  </si>
  <si>
    <t>Q2(April-June)-h</t>
  </si>
  <si>
    <t>Q3 (July - September)</t>
  </si>
  <si>
    <t>Q2(April-June)</t>
  </si>
  <si>
    <t>Real GDP_nowcast</t>
  </si>
  <si>
    <t>Norminal_nrebased</t>
  </si>
  <si>
    <t>non-rebased FY 23/24</t>
  </si>
  <si>
    <t>rebased FY 23/25</t>
  </si>
  <si>
    <t>Rebased 24/25</t>
  </si>
  <si>
    <t>Inflation</t>
  </si>
  <si>
    <t>Qo CPI (yoy)</t>
  </si>
  <si>
    <t>DF rebased(%yoy)</t>
  </si>
  <si>
    <t>DF_nrebased</t>
  </si>
  <si>
    <t>FY nrebased 24/24</t>
  </si>
  <si>
    <t>2025Q4</t>
  </si>
  <si>
    <t>2026Q1</t>
  </si>
  <si>
    <t>2025Q4- Variables in log max lag 4</t>
  </si>
  <si>
    <t>2026Q1- Variables in log max lag 4</t>
  </si>
  <si>
    <t>Monetary</t>
  </si>
  <si>
    <t>demand</t>
  </si>
  <si>
    <t>supply &amp; demand</t>
  </si>
  <si>
    <t>2026Q2</t>
  </si>
  <si>
    <t>RGDP (actual &amp; forecast)--rebased</t>
  </si>
  <si>
    <t>RGDP (actual &amp; forecast)--nonrebased</t>
  </si>
  <si>
    <t>GDP final_re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</si>
</sst>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"/>
    <numFmt numFmtId="167" formatCode="_(* #,##0.0_);_(* \(#,##0.0\);_(* &quot;-&quot;??_);_(@_)"/>
    <numFmt numFmtId="168" formatCode="_(* #,##0_);_(* \(#,##0\);_(* &quot;-&quot;??_);_(@_)"/>
    <numFmt numFmtId="169" formatCode="0.0"/>
    <numFmt numFmtId="170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</font>
    <font>
      <b/>
      <sz val="10"/>
      <color theme="4" tint="-0.499984740745262"/>
      <name val="Bookman Old Style"/>
      <family val="1"/>
    </font>
    <font>
      <b/>
      <sz val="10"/>
      <name val="Calibri Light"/>
      <family val="1"/>
      <scheme val="maj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C00000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165" fontId="2" fillId="2" borderId="0" xfId="0" applyNumberFormat="1" applyFont="1" applyFill="1"/>
    <xf numFmtId="165" fontId="2" fillId="2" borderId="0" xfId="1" applyNumberFormat="1" applyFont="1" applyFill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wrapText="1"/>
    </xf>
    <xf numFmtId="1" fontId="5" fillId="0" borderId="0" xfId="0" applyNumberFormat="1" applyFont="1"/>
    <xf numFmtId="10" fontId="5" fillId="0" borderId="0" xfId="1" applyNumberFormat="1" applyFont="1"/>
    <xf numFmtId="0" fontId="5" fillId="0" borderId="0" xfId="0" applyFont="1"/>
    <xf numFmtId="166" fontId="0" fillId="0" borderId="0" xfId="0" applyNumberFormat="1"/>
    <xf numFmtId="165" fontId="2" fillId="0" borderId="0" xfId="1" applyNumberFormat="1" applyFont="1" applyFill="1"/>
    <xf numFmtId="3" fontId="1" fillId="0" borderId="0" xfId="2" applyNumberFormat="1" applyFont="1"/>
    <xf numFmtId="3" fontId="3" fillId="0" borderId="0" xfId="2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7" fontId="3" fillId="0" borderId="0" xfId="2" applyNumberFormat="1" applyFont="1" applyFill="1" applyBorder="1" applyAlignment="1">
      <alignment wrapText="1"/>
    </xf>
    <xf numFmtId="3" fontId="2" fillId="2" borderId="0" xfId="0" applyNumberFormat="1" applyFont="1" applyFill="1"/>
    <xf numFmtId="166" fontId="4" fillId="0" borderId="0" xfId="0" applyNumberFormat="1" applyFont="1"/>
    <xf numFmtId="3" fontId="4" fillId="0" borderId="0" xfId="0" applyNumberFormat="1" applyFont="1"/>
    <xf numFmtId="3" fontId="3" fillId="0" borderId="0" xfId="3" applyNumberFormat="1" applyFont="1" applyFill="1" applyAlignment="1">
      <alignment wrapText="1"/>
    </xf>
    <xf numFmtId="0" fontId="7" fillId="4" borderId="0" xfId="0" applyFont="1" applyFill="1"/>
    <xf numFmtId="0" fontId="6" fillId="4" borderId="0" xfId="0" applyFont="1" applyFill="1"/>
    <xf numFmtId="165" fontId="7" fillId="4" borderId="0" xfId="1" applyNumberFormat="1" applyFont="1" applyFill="1" applyBorder="1"/>
    <xf numFmtId="168" fontId="6" fillId="4" borderId="0" xfId="2" applyNumberFormat="1" applyFont="1" applyFill="1" applyBorder="1"/>
    <xf numFmtId="168" fontId="0" fillId="0" borderId="0" xfId="2" applyNumberFormat="1" applyFont="1"/>
    <xf numFmtId="166" fontId="3" fillId="0" borderId="0" xfId="3" applyNumberFormat="1" applyFont="1" applyFill="1" applyAlignment="1">
      <alignment wrapText="1"/>
    </xf>
    <xf numFmtId="41" fontId="3" fillId="0" borderId="0" xfId="4" applyFont="1" applyFill="1" applyAlignment="1">
      <alignment wrapText="1"/>
    </xf>
    <xf numFmtId="41" fontId="0" fillId="0" borderId="0" xfId="4" applyFont="1"/>
    <xf numFmtId="14" fontId="0" fillId="0" borderId="1" xfId="0" applyNumberFormat="1" applyBorder="1"/>
    <xf numFmtId="3" fontId="3" fillId="0" borderId="2" xfId="2" applyNumberFormat="1" applyFon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3" fontId="3" fillId="0" borderId="0" xfId="2" applyNumberFormat="1" applyFont="1" applyBorder="1"/>
    <xf numFmtId="10" fontId="5" fillId="0" borderId="0" xfId="1" applyNumberFormat="1" applyFont="1" applyBorder="1"/>
    <xf numFmtId="0" fontId="0" fillId="0" borderId="5" xfId="0" applyBorder="1"/>
    <xf numFmtId="14" fontId="3" fillId="0" borderId="4" xfId="0" applyNumberFormat="1" applyFont="1" applyBorder="1"/>
    <xf numFmtId="165" fontId="0" fillId="0" borderId="5" xfId="1" applyNumberFormat="1" applyFont="1" applyBorder="1"/>
    <xf numFmtId="17" fontId="3" fillId="0" borderId="4" xfId="0" applyNumberFormat="1" applyFont="1" applyBorder="1"/>
    <xf numFmtId="3" fontId="3" fillId="0" borderId="0" xfId="3" applyNumberFormat="1" applyFont="1" applyFill="1" applyBorder="1" applyAlignment="1">
      <alignment wrapText="1"/>
    </xf>
    <xf numFmtId="3" fontId="1" fillId="0" borderId="0" xfId="2" applyNumberFormat="1" applyFont="1" applyBorder="1"/>
    <xf numFmtId="9" fontId="0" fillId="0" borderId="5" xfId="1" applyFont="1" applyBorder="1"/>
    <xf numFmtId="0" fontId="9" fillId="0" borderId="0" xfId="0" applyFont="1"/>
    <xf numFmtId="168" fontId="0" fillId="3" borderId="0" xfId="2" applyNumberFormat="1" applyFont="1" applyFill="1"/>
    <xf numFmtId="9" fontId="10" fillId="2" borderId="0" xfId="1" applyFont="1" applyFill="1"/>
    <xf numFmtId="165" fontId="2" fillId="2" borderId="0" xfId="4" applyNumberFormat="1" applyFont="1" applyFill="1"/>
    <xf numFmtId="165" fontId="9" fillId="0" borderId="0" xfId="0" applyNumberFormat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3" fillId="3" borderId="0" xfId="3" applyNumberFormat="1" applyFont="1" applyFill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0" fontId="12" fillId="6" borderId="15" xfId="0" applyNumberFormat="1" applyFont="1" applyFill="1" applyBorder="1" applyAlignment="1">
      <alignment horizontal="center" vertical="center"/>
    </xf>
    <xf numFmtId="10" fontId="12" fillId="6" borderId="16" xfId="0" applyNumberFormat="1" applyFont="1" applyFill="1" applyBorder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0" fontId="11" fillId="6" borderId="15" xfId="0" applyNumberFormat="1" applyFont="1" applyFill="1" applyBorder="1" applyAlignment="1">
      <alignment horizontal="center" vertical="center"/>
    </xf>
    <xf numFmtId="10" fontId="11" fillId="6" borderId="16" xfId="0" applyNumberFormat="1" applyFont="1" applyFill="1" applyBorder="1" applyAlignment="1">
      <alignment horizontal="center" vertical="center"/>
    </xf>
    <xf numFmtId="10" fontId="11" fillId="6" borderId="0" xfId="0" applyNumberFormat="1" applyFont="1" applyFill="1" applyAlignment="1">
      <alignment horizontal="center" vertical="center"/>
    </xf>
    <xf numFmtId="9" fontId="12" fillId="6" borderId="15" xfId="0" applyNumberFormat="1" applyFont="1" applyFill="1" applyBorder="1" applyAlignment="1">
      <alignment horizontal="center" vertical="center"/>
    </xf>
    <xf numFmtId="9" fontId="12" fillId="6" borderId="16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/>
    </xf>
    <xf numFmtId="0" fontId="11" fillId="6" borderId="14" xfId="0" applyFont="1" applyFill="1" applyBorder="1" applyAlignment="1">
      <alignment horizontal="left" vertical="center"/>
    </xf>
    <xf numFmtId="10" fontId="11" fillId="6" borderId="12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10" fontId="11" fillId="6" borderId="14" xfId="0" applyNumberFormat="1" applyFont="1" applyFill="1" applyBorder="1" applyAlignment="1">
      <alignment horizontal="center" vertical="center"/>
    </xf>
    <xf numFmtId="9" fontId="0" fillId="0" borderId="0" xfId="1" applyFont="1"/>
    <xf numFmtId="43" fontId="0" fillId="0" borderId="0" xfId="0" applyNumberFormat="1"/>
    <xf numFmtId="17" fontId="3" fillId="7" borderId="4" xfId="0" applyNumberFormat="1" applyFont="1" applyFill="1" applyBorder="1"/>
    <xf numFmtId="3" fontId="3" fillId="7" borderId="0" xfId="2" applyNumberFormat="1" applyFont="1" applyFill="1" applyBorder="1"/>
    <xf numFmtId="10" fontId="5" fillId="7" borderId="0" xfId="1" applyNumberFormat="1" applyFont="1" applyFill="1" applyBorder="1"/>
    <xf numFmtId="165" fontId="0" fillId="7" borderId="5" xfId="1" applyNumberFormat="1" applyFont="1" applyFill="1" applyBorder="1"/>
    <xf numFmtId="41" fontId="0" fillId="7" borderId="0" xfId="4" applyFont="1" applyFill="1"/>
    <xf numFmtId="165" fontId="0" fillId="7" borderId="0" xfId="1" applyNumberFormat="1" applyFont="1" applyFill="1"/>
    <xf numFmtId="9" fontId="0" fillId="7" borderId="0" xfId="1" applyFont="1" applyFill="1"/>
    <xf numFmtId="0" fontId="0" fillId="7" borderId="0" xfId="0" applyFill="1"/>
    <xf numFmtId="17" fontId="3" fillId="7" borderId="6" xfId="0" applyNumberFormat="1" applyFont="1" applyFill="1" applyBorder="1"/>
    <xf numFmtId="3" fontId="3" fillId="7" borderId="7" xfId="2" applyNumberFormat="1" applyFont="1" applyFill="1" applyBorder="1"/>
    <xf numFmtId="10" fontId="5" fillId="7" borderId="7" xfId="1" applyNumberFormat="1" applyFont="1" applyFill="1" applyBorder="1"/>
    <xf numFmtId="165" fontId="0" fillId="7" borderId="8" xfId="1" applyNumberFormat="1" applyFont="1" applyFill="1" applyBorder="1"/>
    <xf numFmtId="17" fontId="3" fillId="7" borderId="0" xfId="0" applyNumberFormat="1" applyFont="1" applyFill="1"/>
    <xf numFmtId="41" fontId="3" fillId="7" borderId="0" xfId="4" applyFont="1" applyFill="1"/>
    <xf numFmtId="10" fontId="3" fillId="7" borderId="0" xfId="1" applyNumberFormat="1" applyFont="1" applyFill="1"/>
    <xf numFmtId="165" fontId="3" fillId="7" borderId="0" xfId="1" applyNumberFormat="1" applyFont="1" applyFill="1"/>
    <xf numFmtId="9" fontId="3" fillId="7" borderId="0" xfId="1" applyFont="1" applyFill="1"/>
    <xf numFmtId="0" fontId="3" fillId="7" borderId="0" xfId="0" applyFont="1" applyFill="1"/>
    <xf numFmtId="17" fontId="5" fillId="7" borderId="0" xfId="0" applyNumberFormat="1" applyFont="1" applyFill="1"/>
    <xf numFmtId="41" fontId="5" fillId="7" borderId="0" xfId="4" applyFont="1" applyFill="1"/>
    <xf numFmtId="10" fontId="5" fillId="7" borderId="0" xfId="1" applyNumberFormat="1" applyFont="1" applyFill="1"/>
    <xf numFmtId="165" fontId="5" fillId="7" borderId="0" xfId="1" applyNumberFormat="1" applyFont="1" applyFill="1"/>
    <xf numFmtId="3" fontId="5" fillId="7" borderId="0" xfId="2" applyNumberFormat="1" applyFont="1" applyFill="1"/>
    <xf numFmtId="0" fontId="5" fillId="7" borderId="0" xfId="0" applyFont="1" applyFill="1"/>
    <xf numFmtId="165" fontId="9" fillId="3" borderId="0" xfId="0" applyNumberFormat="1" applyFont="1" applyFill="1"/>
    <xf numFmtId="0" fontId="9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0" fontId="13" fillId="0" borderId="0" xfId="0" applyNumberFormat="1" applyFont="1"/>
    <xf numFmtId="3" fontId="5" fillId="0" borderId="0" xfId="3" applyNumberFormat="1" applyFont="1" applyFill="1" applyAlignment="1">
      <alignment wrapText="1"/>
    </xf>
    <xf numFmtId="165" fontId="14" fillId="4" borderId="0" xfId="1" applyNumberFormat="1" applyFont="1" applyFill="1"/>
    <xf numFmtId="10" fontId="11" fillId="6" borderId="0" xfId="0" applyNumberFormat="1" applyFont="1" applyFill="1" applyAlignment="1">
      <alignment horizontal="left" vertical="center"/>
    </xf>
    <xf numFmtId="0" fontId="0" fillId="0" borderId="16" xfId="0" applyBorder="1"/>
    <xf numFmtId="10" fontId="11" fillId="6" borderId="22" xfId="0" applyNumberFormat="1" applyFont="1" applyFill="1" applyBorder="1" applyAlignment="1">
      <alignment horizontal="left" vertical="center"/>
    </xf>
    <xf numFmtId="10" fontId="12" fillId="6" borderId="0" xfId="0" applyNumberFormat="1" applyFont="1" applyFill="1" applyAlignment="1">
      <alignment horizontal="left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center" vertical="center"/>
    </xf>
    <xf numFmtId="165" fontId="12" fillId="8" borderId="16" xfId="0" applyNumberFormat="1" applyFont="1" applyFill="1" applyBorder="1" applyAlignment="1">
      <alignment horizontal="center" vertical="center"/>
    </xf>
    <xf numFmtId="165" fontId="12" fillId="8" borderId="22" xfId="0" applyNumberFormat="1" applyFont="1" applyFill="1" applyBorder="1" applyAlignment="1">
      <alignment horizontal="center" vertical="center"/>
    </xf>
    <xf numFmtId="165" fontId="12" fillId="8" borderId="13" xfId="0" applyNumberFormat="1" applyFont="1" applyFill="1" applyBorder="1" applyAlignment="1">
      <alignment horizontal="center" vertical="center"/>
    </xf>
    <xf numFmtId="3" fontId="16" fillId="9" borderId="0" xfId="1" applyNumberFormat="1" applyFont="1" applyFill="1" applyBorder="1" applyAlignment="1"/>
    <xf numFmtId="9" fontId="0" fillId="0" borderId="0" xfId="0" applyNumberFormat="1"/>
    <xf numFmtId="169" fontId="0" fillId="0" borderId="0" xfId="0" applyNumberFormat="1"/>
    <xf numFmtId="168" fontId="0" fillId="0" borderId="0" xfId="0" applyNumberFormat="1"/>
    <xf numFmtId="3" fontId="17" fillId="3" borderId="0" xfId="0" applyNumberFormat="1" applyFont="1" applyFill="1"/>
    <xf numFmtId="3" fontId="18" fillId="0" borderId="0" xfId="0" applyNumberFormat="1" applyFont="1" applyAlignment="1">
      <alignment horizontal="center" vertical="center" wrapText="1"/>
    </xf>
    <xf numFmtId="165" fontId="5" fillId="0" borderId="0" xfId="1" applyNumberFormat="1" applyFont="1"/>
    <xf numFmtId="3" fontId="19" fillId="9" borderId="0" xfId="5" applyNumberFormat="1" applyFont="1" applyFill="1" applyBorder="1" applyAlignment="1"/>
    <xf numFmtId="0" fontId="0" fillId="0" borderId="0" xfId="0" applyBorder="1"/>
    <xf numFmtId="165" fontId="0" fillId="0" borderId="0" xfId="1" applyNumberFormat="1" applyFont="1" applyBorder="1"/>
    <xf numFmtId="3" fontId="20" fillId="9" borderId="0" xfId="1" applyNumberFormat="1" applyFont="1" applyFill="1" applyBorder="1" applyAlignme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6">
    <cellStyle name="Comma" xfId="2" builtinId="3"/>
    <cellStyle name="Comma [0]" xfId="4" builtinId="6"/>
    <cellStyle name="Comma 10" xfId="3" xr:uid="{00000000-0005-0000-0000-000001000000}"/>
    <cellStyle name="Normal" xfId="0" builtinId="0"/>
    <cellStyle name="Percent" xfId="1" builtinId="5"/>
    <cellStyle name="Percent 2" xfId="5" xr:uid="{E2996CB1-D22C-4E3D-8C84-576EAEB9E763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>
                <a:latin typeface="Bahnschrift" panose="020B0502040204020203" pitchFamily="34" charset="0"/>
              </a:rPr>
              <a:t>GDP </a:t>
            </a:r>
            <a:r>
              <a:rPr lang="en-US" sz="1600" baseline="0">
                <a:latin typeface="Bahnschrift" panose="020B0502040204020203" pitchFamily="34" charset="0"/>
              </a:rPr>
              <a:t>2025Q4</a:t>
            </a:r>
            <a:endParaRPr lang="en-US" sz="1600"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0.30940843012257158"/>
          <c:y val="1.975959163510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501359771806587"/>
          <c:y val="0.12354684141303529"/>
          <c:w val="0.6116695679324059"/>
          <c:h val="0.76990932424837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'2025Q1&amp;Q2'!$B$51:$AZ$51</c:f>
              <c:strCache>
                <c:ptCount val="51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Agriculture_exp_val</c:v>
                </c:pt>
                <c:pt idx="7">
                  <c:v>Agriculture_exp_vol</c:v>
                </c:pt>
                <c:pt idx="8">
                  <c:v>cement_imports </c:v>
                </c:pt>
                <c:pt idx="9">
                  <c:v>cement_production</c:v>
                </c:pt>
                <c:pt idx="10">
                  <c:v>cpi</c:v>
                </c:pt>
                <c:pt idx="11">
                  <c:v>cpi_Food</c:v>
                </c:pt>
                <c:pt idx="12">
                  <c:v>credit_priv_sector </c:v>
                </c:pt>
                <c:pt idx="13">
                  <c:v>electricity_prod </c:v>
                </c:pt>
                <c:pt idx="14">
                  <c:v>exp_3ts_val</c:v>
                </c:pt>
                <c:pt idx="15">
                  <c:v>exp_3ts_vol</c:v>
                </c:pt>
                <c:pt idx="16">
                  <c:v>exp_val</c:v>
                </c:pt>
                <c:pt idx="17">
                  <c:v>exp_vol</c:v>
                </c:pt>
                <c:pt idx="18">
                  <c:v>flour_production </c:v>
                </c:pt>
                <c:pt idx="19">
                  <c:v>IIP</c:v>
                </c:pt>
                <c:pt idx="20">
                  <c:v>Imp_Cap_val</c:v>
                </c:pt>
                <c:pt idx="21">
                  <c:v>Imp_Cap_vol</c:v>
                </c:pt>
                <c:pt idx="22">
                  <c:v>imp_cif</c:v>
                </c:pt>
                <c:pt idx="23">
                  <c:v>Imp_consumer_val</c:v>
                </c:pt>
                <c:pt idx="24">
                  <c:v>Imp_consumer_vol</c:v>
                </c:pt>
                <c:pt idx="25">
                  <c:v>Imp_Interm_val</c:v>
                </c:pt>
                <c:pt idx="26">
                  <c:v>Imp_Interm_vol</c:v>
                </c:pt>
                <c:pt idx="27">
                  <c:v>Import_petroleum_products</c:v>
                </c:pt>
                <c:pt idx="28">
                  <c:v>imp_vol</c:v>
                </c:pt>
                <c:pt idx="29">
                  <c:v>M3</c:v>
                </c:pt>
                <c:pt idx="30">
                  <c:v>Monetary</c:v>
                </c:pt>
                <c:pt idx="31">
                  <c:v>demand</c:v>
                </c:pt>
                <c:pt idx="32">
                  <c:v>supply &amp; demand</c:v>
                </c:pt>
                <c:pt idx="33">
                  <c:v>modern_beer </c:v>
                </c:pt>
                <c:pt idx="34">
                  <c:v>ner_eop_usd</c:v>
                </c:pt>
                <c:pt idx="35">
                  <c:v>nom_CIEA</c:v>
                </c:pt>
                <c:pt idx="36">
                  <c:v>ppi_all_rwanda </c:v>
                </c:pt>
                <c:pt idx="37">
                  <c:v>real_CIEA</c:v>
                </c:pt>
                <c:pt idx="38">
                  <c:v>rice_production </c:v>
                </c:pt>
                <c:pt idx="39">
                  <c:v>soft_drinks </c:v>
                </c:pt>
                <c:pt idx="40">
                  <c:v>Total_Cement</c:v>
                </c:pt>
                <c:pt idx="41">
                  <c:v>Turnovers_Construction</c:v>
                </c:pt>
                <c:pt idx="42">
                  <c:v>Turnovers_Financial</c:v>
                </c:pt>
                <c:pt idx="43">
                  <c:v>Turnovers_Hotel</c:v>
                </c:pt>
                <c:pt idx="44">
                  <c:v>turnovers_industry</c:v>
                </c:pt>
                <c:pt idx="45">
                  <c:v>Turnovers_Manuf</c:v>
                </c:pt>
                <c:pt idx="46">
                  <c:v>turnovers_services</c:v>
                </c:pt>
                <c:pt idx="47">
                  <c:v>Turnovers_Trade</c:v>
                </c:pt>
                <c:pt idx="48">
                  <c:v>Turnovers_Transport</c:v>
                </c:pt>
                <c:pt idx="49">
                  <c:v>VAT_receipts</c:v>
                </c:pt>
                <c:pt idx="50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'2025Q1&amp;Q2'!$B$51:$AZ$51</c15:sqref>
                  </c15:fullRef>
                </c:ext>
              </c:extLst>
              <c:f>('2025Q1&amp;Q2'!$B$51:$G$51,'2025Q1&amp;Q2'!$J$51,'2025Q1&amp;Q2'!$R$51,'2025Q1&amp;Q2'!$W$51,'2025Q1&amp;Q2'!$AF$51:$AH$51,'2025Q1&amp;Q2'!$AK$51,'2025Q1&amp;Q2'!$AR$51,'2025Q1&amp;Q2'!$AT$51,'2025Q1&amp;Q2'!$AV$51:$AY$51)</c:f>
              <c:strCache>
                <c:ptCount val="1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cement_imports </c:v>
                </c:pt>
                <c:pt idx="7">
                  <c:v>exp_val</c:v>
                </c:pt>
                <c:pt idx="8">
                  <c:v>Imp_Cap_vol</c:v>
                </c:pt>
                <c:pt idx="9">
                  <c:v>Monetary</c:v>
                </c:pt>
                <c:pt idx="10">
                  <c:v>demand</c:v>
                </c:pt>
                <c:pt idx="11">
                  <c:v>supply &amp; demand</c:v>
                </c:pt>
                <c:pt idx="12">
                  <c:v>nom_CIEA</c:v>
                </c:pt>
                <c:pt idx="13">
                  <c:v>Turnovers_Financial</c:v>
                </c:pt>
                <c:pt idx="14">
                  <c:v>turnovers_industry</c:v>
                </c:pt>
                <c:pt idx="15">
                  <c:v>turnovers_services</c:v>
                </c:pt>
                <c:pt idx="16">
                  <c:v>Turnovers_Trade</c:v>
                </c:pt>
                <c:pt idx="17">
                  <c:v>Turnovers_Transport</c:v>
                </c:pt>
                <c:pt idx="18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'2025Q1&amp;Q2'!$B$54:$AZ$54</c15:sqref>
                  </c15:fullRef>
                </c:ext>
              </c:extLst>
              <c:f>('2025Q1&amp;Q2'!$B$54:$G$54,'2025Q1&amp;Q2'!$J$54,'2025Q1&amp;Q2'!$R$54,'2025Q1&amp;Q2'!$W$54,'2025Q1&amp;Q2'!$AF$54:$AH$54,'2025Q1&amp;Q2'!$AK$54,'2025Q1&amp;Q2'!$AR$54,'2025Q1&amp;Q2'!$AT$54,'2025Q1&amp;Q2'!$AV$54:$AY$54)</c:f>
              <c:numCache>
                <c:formatCode>0.0%</c:formatCode>
                <c:ptCount val="19"/>
                <c:pt idx="0">
                  <c:v>0.11240663144470764</c:v>
                </c:pt>
                <c:pt idx="1">
                  <c:v>0.11240663144470764</c:v>
                </c:pt>
                <c:pt idx="2">
                  <c:v>5.8717070504645585E-2</c:v>
                </c:pt>
                <c:pt idx="6">
                  <c:v>0.12398713126113647</c:v>
                </c:pt>
                <c:pt idx="7">
                  <c:v>0.1409089289249652</c:v>
                </c:pt>
                <c:pt idx="8">
                  <c:v>0.13699920807760835</c:v>
                </c:pt>
                <c:pt idx="9">
                  <c:v>-0.28126173035042557</c:v>
                </c:pt>
                <c:pt idx="10">
                  <c:v>-0.33234864383290441</c:v>
                </c:pt>
                <c:pt idx="11">
                  <c:v>-0.3055988913086517</c:v>
                </c:pt>
                <c:pt idx="12">
                  <c:v>0.16418827954860427</c:v>
                </c:pt>
                <c:pt idx="13">
                  <c:v>0.15695466244308065</c:v>
                </c:pt>
                <c:pt idx="14">
                  <c:v>0.20193169669372413</c:v>
                </c:pt>
                <c:pt idx="15">
                  <c:v>0.12140130667194615</c:v>
                </c:pt>
                <c:pt idx="16">
                  <c:v>0.14572104533755703</c:v>
                </c:pt>
                <c:pt idx="17">
                  <c:v>0.15585547416353185</c:v>
                </c:pt>
                <c:pt idx="18">
                  <c:v>0.13285468224114028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593-A1DA-BA0C8FC0F4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GDP 2026Q1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9313514547286932"/>
          <c:y val="0.11492139457927102"/>
          <c:w val="0.56397985110891657"/>
          <c:h val="0.76954604493740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'2025Q1&amp;Q2'!$B$103:$AZ$103</c:f>
              <c:strCache>
                <c:ptCount val="51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Agriculture_exp_val</c:v>
                </c:pt>
                <c:pt idx="7">
                  <c:v>Agriculture_exp_vol</c:v>
                </c:pt>
                <c:pt idx="8">
                  <c:v>cement_imports </c:v>
                </c:pt>
                <c:pt idx="9">
                  <c:v>cement_production</c:v>
                </c:pt>
                <c:pt idx="10">
                  <c:v>cpi</c:v>
                </c:pt>
                <c:pt idx="11">
                  <c:v>cpi_Food</c:v>
                </c:pt>
                <c:pt idx="12">
                  <c:v>credit_priv_sector </c:v>
                </c:pt>
                <c:pt idx="13">
                  <c:v>electricity_prod </c:v>
                </c:pt>
                <c:pt idx="14">
                  <c:v>exp_3ts_val</c:v>
                </c:pt>
                <c:pt idx="15">
                  <c:v>exp_3ts_vol</c:v>
                </c:pt>
                <c:pt idx="16">
                  <c:v>exp_val</c:v>
                </c:pt>
                <c:pt idx="17">
                  <c:v>exp_vol</c:v>
                </c:pt>
                <c:pt idx="18">
                  <c:v>flour_production </c:v>
                </c:pt>
                <c:pt idx="19">
                  <c:v>IIP</c:v>
                </c:pt>
                <c:pt idx="20">
                  <c:v>Imp_Cap_val</c:v>
                </c:pt>
                <c:pt idx="21">
                  <c:v>Imp_Cap_vol</c:v>
                </c:pt>
                <c:pt idx="22">
                  <c:v>imp_cif</c:v>
                </c:pt>
                <c:pt idx="23">
                  <c:v>Imp_consumer_val</c:v>
                </c:pt>
                <c:pt idx="24">
                  <c:v>Imp_consumer_vol</c:v>
                </c:pt>
                <c:pt idx="25">
                  <c:v>Imp_Interm_val</c:v>
                </c:pt>
                <c:pt idx="26">
                  <c:v>Imp_Interm_vol</c:v>
                </c:pt>
                <c:pt idx="27">
                  <c:v>Import_petroleum_products</c:v>
                </c:pt>
                <c:pt idx="28">
                  <c:v>imp_vol</c:v>
                </c:pt>
                <c:pt idx="29">
                  <c:v>M3</c:v>
                </c:pt>
                <c:pt idx="30">
                  <c:v>Monetary</c:v>
                </c:pt>
                <c:pt idx="31">
                  <c:v>demand</c:v>
                </c:pt>
                <c:pt idx="32">
                  <c:v>supply &amp; demand</c:v>
                </c:pt>
                <c:pt idx="33">
                  <c:v>modern_beer </c:v>
                </c:pt>
                <c:pt idx="34">
                  <c:v>ner_eop_usd</c:v>
                </c:pt>
                <c:pt idx="35">
                  <c:v>nom_CIEA</c:v>
                </c:pt>
                <c:pt idx="36">
                  <c:v>ppi_all_rwanda </c:v>
                </c:pt>
                <c:pt idx="37">
                  <c:v>real_CIEA</c:v>
                </c:pt>
                <c:pt idx="38">
                  <c:v>rice_production </c:v>
                </c:pt>
                <c:pt idx="39">
                  <c:v>soft_drinks </c:v>
                </c:pt>
                <c:pt idx="40">
                  <c:v>Total_Cement</c:v>
                </c:pt>
                <c:pt idx="41">
                  <c:v>Turnovers_Construction</c:v>
                </c:pt>
                <c:pt idx="42">
                  <c:v>Turnovers_Financial</c:v>
                </c:pt>
                <c:pt idx="43">
                  <c:v>Turnovers_Hotel</c:v>
                </c:pt>
                <c:pt idx="44">
                  <c:v>turnovers_industry</c:v>
                </c:pt>
                <c:pt idx="45">
                  <c:v>Turnovers_Manuf</c:v>
                </c:pt>
                <c:pt idx="46">
                  <c:v>turnovers_services</c:v>
                </c:pt>
                <c:pt idx="47">
                  <c:v>Turnovers_Trade</c:v>
                </c:pt>
                <c:pt idx="48">
                  <c:v>Turnovers_Transport</c:v>
                </c:pt>
                <c:pt idx="49">
                  <c:v>VAT_receipts</c:v>
                </c:pt>
                <c:pt idx="50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'2025Q1&amp;Q2'!$B$103:$AZ$103</c15:sqref>
                  </c15:fullRef>
                </c:ext>
              </c:extLst>
              <c:f>('2025Q1&amp;Q2'!$B$103:$G$103,'2025Q1&amp;Q2'!$J$103,'2025Q1&amp;Q2'!$R$103,'2025Q1&amp;Q2'!$W$103,'2025Q1&amp;Q2'!$AF$103:$AH$103,'2025Q1&amp;Q2'!$AK$103,'2025Q1&amp;Q2'!$AR$103,'2025Q1&amp;Q2'!$AT$103,'2025Q1&amp;Q2'!$AV$103:$AY$103)</c:f>
              <c:strCache>
                <c:ptCount val="1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cement_imports </c:v>
                </c:pt>
                <c:pt idx="7">
                  <c:v>exp_val</c:v>
                </c:pt>
                <c:pt idx="8">
                  <c:v>Imp_Cap_vol</c:v>
                </c:pt>
                <c:pt idx="9">
                  <c:v>Monetary</c:v>
                </c:pt>
                <c:pt idx="10">
                  <c:v>demand</c:v>
                </c:pt>
                <c:pt idx="11">
                  <c:v>supply &amp; demand</c:v>
                </c:pt>
                <c:pt idx="12">
                  <c:v>nom_CIEA</c:v>
                </c:pt>
                <c:pt idx="13">
                  <c:v>Turnovers_Financial</c:v>
                </c:pt>
                <c:pt idx="14">
                  <c:v>turnovers_industry</c:v>
                </c:pt>
                <c:pt idx="15">
                  <c:v>turnovers_services</c:v>
                </c:pt>
                <c:pt idx="16">
                  <c:v>Turnovers_Trade</c:v>
                </c:pt>
                <c:pt idx="17">
                  <c:v>Turnovers_Transport</c:v>
                </c:pt>
                <c:pt idx="18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'2025Q1&amp;Q2'!$B$106:$AZ$106</c15:sqref>
                  </c15:fullRef>
                </c:ext>
              </c:extLst>
              <c:f>('2025Q1&amp;Q2'!$B$106:$G$106,'2025Q1&amp;Q2'!$J$106,'2025Q1&amp;Q2'!$R$106,'2025Q1&amp;Q2'!$W$106,'2025Q1&amp;Q2'!$AF$106:$AH$106,'2025Q1&amp;Q2'!$AK$106,'2025Q1&amp;Q2'!$AR$106,'2025Q1&amp;Q2'!$AT$106,'2025Q1&amp;Q2'!$AV$106:$AY$106)</c:f>
              <c:numCache>
                <c:formatCode>0.0%</c:formatCode>
                <c:ptCount val="19"/>
                <c:pt idx="0">
                  <c:v>0.14186854088299361</c:v>
                </c:pt>
                <c:pt idx="1">
                  <c:v>0.14219263512175817</c:v>
                </c:pt>
                <c:pt idx="2">
                  <c:v>0.18264264502078809</c:v>
                </c:pt>
                <c:pt idx="6">
                  <c:v>-0.30551474955454372</c:v>
                </c:pt>
                <c:pt idx="7">
                  <c:v>-0.33034824787170858</c:v>
                </c:pt>
                <c:pt idx="8">
                  <c:v>-0.29933735893882396</c:v>
                </c:pt>
                <c:pt idx="9">
                  <c:v>-0.29064818847752916</c:v>
                </c:pt>
                <c:pt idx="10">
                  <c:v>-0.32403029103147896</c:v>
                </c:pt>
                <c:pt idx="11">
                  <c:v>-0.3109095228667591</c:v>
                </c:pt>
                <c:pt idx="12">
                  <c:v>-0.28293367649970302</c:v>
                </c:pt>
                <c:pt idx="13">
                  <c:v>-0.30320194020985947</c:v>
                </c:pt>
                <c:pt idx="14">
                  <c:v>-0.23649851514551579</c:v>
                </c:pt>
                <c:pt idx="15">
                  <c:v>-0.29333993268659664</c:v>
                </c:pt>
                <c:pt idx="16">
                  <c:v>-0.29425876064145717</c:v>
                </c:pt>
                <c:pt idx="17">
                  <c:v>-0.30451692734112057</c:v>
                </c:pt>
                <c:pt idx="18">
                  <c:v>-0.2823296376955059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726-A932-8F8995F5A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'2025Q1&amp;Q2'!$H$51:$AZ$51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Monetary</c:v>
                </c:pt>
                <c:pt idx="25">
                  <c:v>demand</c:v>
                </c:pt>
                <c:pt idx="26">
                  <c:v>supply &amp; demand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'2025Q1&amp;Q2'!$H$54:$AZ$54</c:f>
              <c:numCache>
                <c:formatCode>0.0%</c:formatCode>
                <c:ptCount val="45"/>
                <c:pt idx="0">
                  <c:v>0.13045060384082352</c:v>
                </c:pt>
                <c:pt idx="1">
                  <c:v>0.14639635715699861</c:v>
                </c:pt>
                <c:pt idx="2">
                  <c:v>0.12398713126113647</c:v>
                </c:pt>
                <c:pt idx="3">
                  <c:v>-0.31898891308651756</c:v>
                </c:pt>
                <c:pt idx="4">
                  <c:v>0.11618550782023362</c:v>
                </c:pt>
                <c:pt idx="5">
                  <c:v>0.1142941991684816</c:v>
                </c:pt>
                <c:pt idx="6">
                  <c:v>0.12032587606414569</c:v>
                </c:pt>
                <c:pt idx="7">
                  <c:v>0.11564145713720042</c:v>
                </c:pt>
                <c:pt idx="8">
                  <c:v>0.12758602256978824</c:v>
                </c:pt>
                <c:pt idx="9">
                  <c:v>0.11680657295585029</c:v>
                </c:pt>
                <c:pt idx="10">
                  <c:v>0.1409089289249652</c:v>
                </c:pt>
                <c:pt idx="11">
                  <c:v>0.16397366858047913</c:v>
                </c:pt>
                <c:pt idx="12">
                  <c:v>-0.33595189071470999</c:v>
                </c:pt>
                <c:pt idx="13">
                  <c:v>0.12735676103741844</c:v>
                </c:pt>
                <c:pt idx="14">
                  <c:v>0.11399742625222742</c:v>
                </c:pt>
                <c:pt idx="15">
                  <c:v>0.13699920807760835</c:v>
                </c:pt>
                <c:pt idx="16">
                  <c:v>0.14629360522668788</c:v>
                </c:pt>
                <c:pt idx="17">
                  <c:v>0.11987349039794104</c:v>
                </c:pt>
                <c:pt idx="18">
                  <c:v>0.11562304494159559</c:v>
                </c:pt>
                <c:pt idx="19">
                  <c:v>0.19199485250445458</c:v>
                </c:pt>
                <c:pt idx="20">
                  <c:v>0.19221718471589777</c:v>
                </c:pt>
                <c:pt idx="21">
                  <c:v>0.16598911106711545</c:v>
                </c:pt>
                <c:pt idx="22">
                  <c:v>0.1672660859235795</c:v>
                </c:pt>
                <c:pt idx="23">
                  <c:v>0.10670560285092057</c:v>
                </c:pt>
                <c:pt idx="24">
                  <c:v>-0.28126173035042557</c:v>
                </c:pt>
                <c:pt idx="25">
                  <c:v>-0.33234864383290441</c:v>
                </c:pt>
                <c:pt idx="26">
                  <c:v>-0.3055988913086517</c:v>
                </c:pt>
                <c:pt idx="27">
                  <c:v>-0.33539200158384475</c:v>
                </c:pt>
                <c:pt idx="28">
                  <c:v>0.13040368243912104</c:v>
                </c:pt>
                <c:pt idx="29">
                  <c:v>0.16418827954860427</c:v>
                </c:pt>
                <c:pt idx="30">
                  <c:v>0.12996515541476938</c:v>
                </c:pt>
                <c:pt idx="31">
                  <c:v>0.15322648980399922</c:v>
                </c:pt>
                <c:pt idx="32">
                  <c:v>-0.33042645020787964</c:v>
                </c:pt>
                <c:pt idx="33">
                  <c:v>-0.39555276182934074</c:v>
                </c:pt>
                <c:pt idx="34">
                  <c:v>0.21523480498911107</c:v>
                </c:pt>
                <c:pt idx="35">
                  <c:v>5.4963769550584018E-2</c:v>
                </c:pt>
                <c:pt idx="36">
                  <c:v>0.15695466244308065</c:v>
                </c:pt>
                <c:pt idx="37">
                  <c:v>6.8623638883389404E-2</c:v>
                </c:pt>
                <c:pt idx="38">
                  <c:v>0.20193169669372413</c:v>
                </c:pt>
                <c:pt idx="39">
                  <c:v>0.21864818847752909</c:v>
                </c:pt>
                <c:pt idx="40">
                  <c:v>0.12140130667194615</c:v>
                </c:pt>
                <c:pt idx="41">
                  <c:v>0.14572104533755703</c:v>
                </c:pt>
                <c:pt idx="42">
                  <c:v>0.15585547416353185</c:v>
                </c:pt>
                <c:pt idx="43">
                  <c:v>0.13285468224114028</c:v>
                </c:pt>
                <c:pt idx="44">
                  <c:v>0.11813660661255199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FEB-BC91-A05D735B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6600"/>
        <c:axId val="1041596960"/>
      </c:barChart>
      <c:catAx>
        <c:axId val="104159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960"/>
        <c:crosses val="autoZero"/>
        <c:auto val="1"/>
        <c:lblAlgn val="ctr"/>
        <c:lblOffset val="100"/>
        <c:noMultiLvlLbl val="0"/>
      </c:catAx>
      <c:valAx>
        <c:axId val="1041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'2025Q1&amp;Q2'!$H$103:$AZ$103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Monetary</c:v>
                </c:pt>
                <c:pt idx="25">
                  <c:v>demand</c:v>
                </c:pt>
                <c:pt idx="26">
                  <c:v>supply &amp; demand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'2025Q1&amp;Q2'!$H$106:$AZ$106</c:f>
              <c:numCache>
                <c:formatCode>0.0%</c:formatCode>
                <c:ptCount val="45"/>
                <c:pt idx="0">
                  <c:v>-0.30696574935656307</c:v>
                </c:pt>
                <c:pt idx="1">
                  <c:v>-0.30493268659671358</c:v>
                </c:pt>
                <c:pt idx="2">
                  <c:v>-0.30551474955454372</c:v>
                </c:pt>
                <c:pt idx="3">
                  <c:v>-0.30950326667986539</c:v>
                </c:pt>
                <c:pt idx="4">
                  <c:v>-0.31168976440308849</c:v>
                </c:pt>
                <c:pt idx="5">
                  <c:v>-0.31067630172243121</c:v>
                </c:pt>
                <c:pt idx="6">
                  <c:v>-0.30824747574737676</c:v>
                </c:pt>
                <c:pt idx="7">
                  <c:v>-0.32411641259156609</c:v>
                </c:pt>
                <c:pt idx="8">
                  <c:v>-0.3033377549000198</c:v>
                </c:pt>
                <c:pt idx="9">
                  <c:v>-0.29425955256384873</c:v>
                </c:pt>
                <c:pt idx="10">
                  <c:v>-0.33034824787170858</c:v>
                </c:pt>
                <c:pt idx="11">
                  <c:v>-0.31059354583250842</c:v>
                </c:pt>
                <c:pt idx="12">
                  <c:v>-0.32433775490001981</c:v>
                </c:pt>
                <c:pt idx="13">
                  <c:v>-0.31984537715303907</c:v>
                </c:pt>
                <c:pt idx="14">
                  <c:v>-0.32369491189863397</c:v>
                </c:pt>
                <c:pt idx="15">
                  <c:v>-0.29933735893882396</c:v>
                </c:pt>
                <c:pt idx="16">
                  <c:v>-0.32259275391011688</c:v>
                </c:pt>
                <c:pt idx="17">
                  <c:v>-0.29347812314393196</c:v>
                </c:pt>
                <c:pt idx="18">
                  <c:v>-0.29498792318352796</c:v>
                </c:pt>
                <c:pt idx="19">
                  <c:v>-0.32590140566224512</c:v>
                </c:pt>
                <c:pt idx="20">
                  <c:v>-0.33044367451989698</c:v>
                </c:pt>
                <c:pt idx="21">
                  <c:v>-0.28346446248267665</c:v>
                </c:pt>
                <c:pt idx="22">
                  <c:v>-0.32620293011284895</c:v>
                </c:pt>
                <c:pt idx="23">
                  <c:v>-0.2893143931894675</c:v>
                </c:pt>
                <c:pt idx="24">
                  <c:v>-0.29064818847752916</c:v>
                </c:pt>
                <c:pt idx="25">
                  <c:v>-0.32403029103147896</c:v>
                </c:pt>
                <c:pt idx="26">
                  <c:v>-0.3109095228667591</c:v>
                </c:pt>
                <c:pt idx="27">
                  <c:v>-0.31879805979014053</c:v>
                </c:pt>
                <c:pt idx="28">
                  <c:v>-0.2959524846565037</c:v>
                </c:pt>
                <c:pt idx="29">
                  <c:v>-0.28293367649970302</c:v>
                </c:pt>
                <c:pt idx="30">
                  <c:v>-0.30588556721441296</c:v>
                </c:pt>
                <c:pt idx="31">
                  <c:v>-0.28887606414571365</c:v>
                </c:pt>
                <c:pt idx="32">
                  <c:v>-0.32113997228271629</c:v>
                </c:pt>
                <c:pt idx="33">
                  <c:v>-0.38466877845971092</c:v>
                </c:pt>
                <c:pt idx="34">
                  <c:v>-0.30488695307859826</c:v>
                </c:pt>
                <c:pt idx="35">
                  <c:v>-0.30413225103939812</c:v>
                </c:pt>
                <c:pt idx="36">
                  <c:v>-0.30320194020985947</c:v>
                </c:pt>
                <c:pt idx="37">
                  <c:v>-0.30672797465848345</c:v>
                </c:pt>
                <c:pt idx="38">
                  <c:v>-0.23649851514551579</c:v>
                </c:pt>
                <c:pt idx="39">
                  <c:v>-0.26294258562660855</c:v>
                </c:pt>
                <c:pt idx="40">
                  <c:v>-0.29333993268659664</c:v>
                </c:pt>
                <c:pt idx="41">
                  <c:v>-0.29425876064145717</c:v>
                </c:pt>
                <c:pt idx="42">
                  <c:v>-0.30451692734112057</c:v>
                </c:pt>
                <c:pt idx="43">
                  <c:v>-0.2823296376955059</c:v>
                </c:pt>
                <c:pt idx="44">
                  <c:v>-0.34903761631360131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719-9D4A-8FD366D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355120"/>
        <c:axId val="897346480"/>
      </c:barChart>
      <c:catAx>
        <c:axId val="897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46480"/>
        <c:crosses val="autoZero"/>
        <c:auto val="1"/>
        <c:lblAlgn val="ctr"/>
        <c:lblOffset val="100"/>
        <c:noMultiLvlLbl val="0"/>
      </c:catAx>
      <c:valAx>
        <c:axId val="897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'2025Q1&amp;Q2'!$B$3</c:f>
              <c:strCache>
                <c:ptCount val="1"/>
                <c:pt idx="0">
                  <c:v>RGDP (actual &amp; forecast)--rebased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'2025Q1&amp;Q2'!$A$4:$A$47</c:f>
              <c:strCache>
                <c:ptCount val="44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  <c:pt idx="42">
                  <c:v>2025Q3</c:v>
                </c:pt>
                <c:pt idx="43">
                  <c:v>2025Q4</c:v>
                </c:pt>
              </c:strCache>
            </c:strRef>
          </c:cat>
          <c:val>
            <c:numRef>
              <c:f>'2025Q1&amp;Q2'!$B$4:$B$47</c:f>
              <c:numCache>
                <c:formatCode>#,##0</c:formatCode>
                <c:ptCount val="44"/>
                <c:pt idx="0">
                  <c:v>2723</c:v>
                </c:pt>
                <c:pt idx="1">
                  <c:v>2858</c:v>
                </c:pt>
                <c:pt idx="2">
                  <c:v>2569</c:v>
                </c:pt>
                <c:pt idx="3">
                  <c:v>3164</c:v>
                </c:pt>
                <c:pt idx="4">
                  <c:v>2955</c:v>
                </c:pt>
                <c:pt idx="5">
                  <c:v>3059</c:v>
                </c:pt>
                <c:pt idx="6">
                  <c:v>2689</c:v>
                </c:pt>
                <c:pt idx="7">
                  <c:v>3251</c:v>
                </c:pt>
                <c:pt idx="8">
                  <c:v>3016</c:v>
                </c:pt>
                <c:pt idx="9">
                  <c:v>3213</c:v>
                </c:pt>
                <c:pt idx="10">
                  <c:v>2808</c:v>
                </c:pt>
                <c:pt idx="11">
                  <c:v>3479</c:v>
                </c:pt>
                <c:pt idx="12">
                  <c:v>3264</c:v>
                </c:pt>
                <c:pt idx="13">
                  <c:v>3433</c:v>
                </c:pt>
                <c:pt idx="14">
                  <c:v>3026</c:v>
                </c:pt>
                <c:pt idx="15">
                  <c:v>3803</c:v>
                </c:pt>
                <c:pt idx="16">
                  <c:v>3468</c:v>
                </c:pt>
                <c:pt idx="17">
                  <c:v>3885</c:v>
                </c:pt>
                <c:pt idx="18">
                  <c:v>3383</c:v>
                </c:pt>
                <c:pt idx="19">
                  <c:v>4046</c:v>
                </c:pt>
                <c:pt idx="20">
                  <c:v>3621</c:v>
                </c:pt>
                <c:pt idx="21">
                  <c:v>3451</c:v>
                </c:pt>
                <c:pt idx="22">
                  <c:v>3258</c:v>
                </c:pt>
                <c:pt idx="23">
                  <c:v>4042</c:v>
                </c:pt>
                <c:pt idx="24">
                  <c:v>3707</c:v>
                </c:pt>
                <c:pt idx="25">
                  <c:v>4070</c:v>
                </c:pt>
                <c:pt idx="26">
                  <c:v>3454</c:v>
                </c:pt>
                <c:pt idx="27">
                  <c:v>4350</c:v>
                </c:pt>
                <c:pt idx="28">
                  <c:v>4074</c:v>
                </c:pt>
                <c:pt idx="29">
                  <c:v>4541</c:v>
                </c:pt>
                <c:pt idx="30">
                  <c:v>3852</c:v>
                </c:pt>
                <c:pt idx="31">
                  <c:v>4644</c:v>
                </c:pt>
                <c:pt idx="32">
                  <c:v>4386</c:v>
                </c:pt>
                <c:pt idx="33">
                  <c:v>4659</c:v>
                </c:pt>
                <c:pt idx="34">
                  <c:v>4261</c:v>
                </c:pt>
                <c:pt idx="35">
                  <c:v>5270</c:v>
                </c:pt>
                <c:pt idx="36">
                  <c:v>4741</c:v>
                </c:pt>
                <c:pt idx="37">
                  <c:v>5137</c:v>
                </c:pt>
                <c:pt idx="38">
                  <c:v>4550</c:v>
                </c:pt>
                <c:pt idx="39">
                  <c:v>5489</c:v>
                </c:pt>
                <c:pt idx="40">
                  <c:v>5051</c:v>
                </c:pt>
                <c:pt idx="41">
                  <c:v>5540</c:v>
                </c:pt>
                <c:pt idx="42">
                  <c:v>5089</c:v>
                </c:pt>
                <c:pt idx="43">
                  <c:v>6106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154-B4A2-505F5A31D12A}"/>
            </c:ext>
          </c:extLst>
        </c:ser>
        <c:ser>
          <c:idx val="1"/>
          <c:order val="1"/>
          <c:tx>
            <c:strRef>
              <c:f>'2025Q1&amp;Q2'!$E$3</c:f>
              <c:strCache>
                <c:ptCount val="1"/>
                <c:pt idx="0">
                  <c:v>RGDP (actual &amp; forecast)--nonrebased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'2025Q1&amp;Q2'!$A$4:$A$47</c:f>
              <c:strCache>
                <c:ptCount val="44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  <c:pt idx="42">
                  <c:v>2025Q3</c:v>
                </c:pt>
                <c:pt idx="43">
                  <c:v>2025Q4</c:v>
                </c:pt>
              </c:strCache>
            </c:strRef>
          </c:cat>
          <c:val>
            <c:numRef>
              <c:f>'2025Q1&amp;Q2'!$E$4:$E$47</c:f>
              <c:numCache>
                <c:formatCode>#,##0</c:formatCode>
                <c:ptCount val="44"/>
                <c:pt idx="0">
                  <c:v>1678</c:v>
                </c:pt>
                <c:pt idx="1">
                  <c:v>1724</c:v>
                </c:pt>
                <c:pt idx="2">
                  <c:v>1776</c:v>
                </c:pt>
                <c:pt idx="3">
                  <c:v>1808</c:v>
                </c:pt>
                <c:pt idx="4">
                  <c:v>1858</c:v>
                </c:pt>
                <c:pt idx="5">
                  <c:v>1872</c:v>
                </c:pt>
                <c:pt idx="6">
                  <c:v>1833</c:v>
                </c:pt>
                <c:pt idx="7">
                  <c:v>1841</c:v>
                </c:pt>
                <c:pt idx="8">
                  <c:v>1862</c:v>
                </c:pt>
                <c:pt idx="9">
                  <c:v>1904</c:v>
                </c:pt>
                <c:pt idx="10">
                  <c:v>1955</c:v>
                </c:pt>
                <c:pt idx="11">
                  <c:v>1973</c:v>
                </c:pt>
                <c:pt idx="12">
                  <c:v>2043</c:v>
                </c:pt>
                <c:pt idx="13">
                  <c:v>2052</c:v>
                </c:pt>
                <c:pt idx="14">
                  <c:v>2092</c:v>
                </c:pt>
                <c:pt idx="15">
                  <c:v>2162</c:v>
                </c:pt>
                <c:pt idx="16">
                  <c:v>2168</c:v>
                </c:pt>
                <c:pt idx="17">
                  <c:v>2305</c:v>
                </c:pt>
                <c:pt idx="18">
                  <c:v>2321</c:v>
                </c:pt>
                <c:pt idx="19">
                  <c:v>2344</c:v>
                </c:pt>
                <c:pt idx="20">
                  <c:v>2249</c:v>
                </c:pt>
                <c:pt idx="21">
                  <c:v>2017</c:v>
                </c:pt>
                <c:pt idx="22">
                  <c:v>2235</c:v>
                </c:pt>
                <c:pt idx="23">
                  <c:v>2329</c:v>
                </c:pt>
                <c:pt idx="24">
                  <c:v>2327</c:v>
                </c:pt>
                <c:pt idx="25">
                  <c:v>2433</c:v>
                </c:pt>
                <c:pt idx="26">
                  <c:v>2461</c:v>
                </c:pt>
                <c:pt idx="27">
                  <c:v>2568</c:v>
                </c:pt>
                <c:pt idx="28">
                  <c:v>2510</c:v>
                </c:pt>
                <c:pt idx="29">
                  <c:v>2615</c:v>
                </c:pt>
                <c:pt idx="30">
                  <c:v>2708</c:v>
                </c:pt>
                <c:pt idx="31">
                  <c:v>2755</c:v>
                </c:pt>
                <c:pt idx="32">
                  <c:v>2740</c:v>
                </c:pt>
                <c:pt idx="33">
                  <c:v>2780</c:v>
                </c:pt>
                <c:pt idx="34">
                  <c:v>2910</c:v>
                </c:pt>
                <c:pt idx="35">
                  <c:v>3031</c:v>
                </c:pt>
                <c:pt idx="36">
                  <c:v>3007</c:v>
                </c:pt>
                <c:pt idx="37">
                  <c:v>3052</c:v>
                </c:pt>
                <c:pt idx="38">
                  <c:v>3146</c:v>
                </c:pt>
                <c:pt idx="39">
                  <c:v>3274</c:v>
                </c:pt>
                <c:pt idx="40">
                  <c:v>3241</c:v>
                </c:pt>
                <c:pt idx="41">
                  <c:v>3330.0030000000002</c:v>
                </c:pt>
                <c:pt idx="42">
                  <c:v>3432.5160000000001</c:v>
                </c:pt>
                <c:pt idx="43">
                  <c:v>3523.2310000000002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1-4154-B4A2-505F5A31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429631"/>
        <c:axId val="1379427551"/>
      </c:barChart>
      <c:catAx>
        <c:axId val="137942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379427551"/>
        <c:crosses val="autoZero"/>
        <c:auto val="1"/>
        <c:lblAlgn val="ctr"/>
        <c:lblOffset val="100"/>
        <c:noMultiLvlLbl val="0"/>
      </c:catAx>
      <c:valAx>
        <c:axId val="13794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37942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RGDP forecast (% change)</a:t>
            </a:r>
          </a:p>
        </c:rich>
      </c:tx>
      <c:layout>
        <c:manualLayout>
          <c:xMode val="edge"/>
          <c:yMode val="edge"/>
          <c:x val="0.31239732858267089"/>
          <c:y val="1.480850964593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5.0203268780855355E-2"/>
          <c:y val="0.11494232538903863"/>
          <c:w val="0.92390787029483912"/>
          <c:h val="0.52221385356539107"/>
        </c:manualLayout>
      </c:layout>
      <c:lineChart>
        <c:grouping val="standard"/>
        <c:varyColors val="0"/>
        <c:ser>
          <c:idx val="0"/>
          <c:order val="0"/>
          <c:tx>
            <c:strRef>
              <c:f>'Seasonally adj series'!$C$1</c:f>
              <c:strCache>
                <c:ptCount val="1"/>
                <c:pt idx="0">
                  <c:v>RGDP_forecast (not sa), yoy %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4686-41A4-B5E7-87C35CCBDC4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EF0-4419-A38E-9396D97AD17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686-41A4-B5E7-87C35CCBDC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AEF0-4419-A38E-9396D97AD1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6-41A4-B5E7-87C35CCBDC4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CA-4987-9397-B643CDFB4EE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EF0-4419-A38E-9396D97AD1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CA-4987-9397-B643CDFB4EE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EB-4DE3-AD1F-94021D285A8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CA-4987-9397-B643CDFB4EE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AEF0-4419-A38E-9396D97AD17E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series'!$A$54:$A$82</c15:sqref>
                  </c15:fullRef>
                </c:ext>
              </c:extLst>
              <c:f>'Seasonally adj series'!$A$62:$A$82</c:f>
              <c:strCache>
                <c:ptCount val="21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  <c:pt idx="19">
                  <c:v>2025Q4</c:v>
                </c:pt>
                <c:pt idx="20">
                  <c:v>2026Q1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series'!$C$54:$C$80</c15:sqref>
                  </c15:fullRef>
                </c:ext>
              </c:extLst>
              <c:f>'Seasonally adj series'!$C$62:$C$80</c:f>
              <c:numCache>
                <c:formatCode>0.0%</c:formatCode>
                <c:ptCount val="19"/>
                <c:pt idx="0">
                  <c:v>5.3781356225504728E-2</c:v>
                </c:pt>
                <c:pt idx="1">
                  <c:v>0.1225232906273126</c:v>
                </c:pt>
                <c:pt idx="2">
                  <c:v>9.1274866178995051E-2</c:v>
                </c:pt>
                <c:pt idx="3">
                  <c:v>8.3110358986977495E-2</c:v>
                </c:pt>
                <c:pt idx="4">
                  <c:v>8.6307514824833342E-2</c:v>
                </c:pt>
                <c:pt idx="5">
                  <c:v>7.3965262630772299E-2</c:v>
                </c:pt>
                <c:pt idx="6">
                  <c:v>8.8642765951677971E-2</c:v>
                </c:pt>
                <c:pt idx="7">
                  <c:v>8.1987890153745857E-2</c:v>
                </c:pt>
                <c:pt idx="8">
                  <c:v>7.7695196090570962E-2</c:v>
                </c:pt>
                <c:pt idx="9">
                  <c:v>6.9036280812364792E-2</c:v>
                </c:pt>
                <c:pt idx="10">
                  <c:v>6.938665752262696E-2</c:v>
                </c:pt>
                <c:pt idx="11">
                  <c:v>6.779272304910311E-2</c:v>
                </c:pt>
                <c:pt idx="12">
                  <c:v>6.624160182084049E-2</c:v>
                </c:pt>
                <c:pt idx="13">
                  <c:v>7.4795272983268601E-2</c:v>
                </c:pt>
                <c:pt idx="14">
                  <c:v>7.1987157699254345E-2</c:v>
                </c:pt>
                <c:pt idx="15">
                  <c:v>6.9655237488180477E-2</c:v>
                </c:pt>
                <c:pt idx="16">
                  <c:v>7.0437107046090741E-2</c:v>
                </c:pt>
                <c:pt idx="17">
                  <c:v>7.5231838057686407E-2</c:v>
                </c:pt>
                <c:pt idx="18">
                  <c:v>7.6426029585772826E-2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48-40A4-AF7A-80995D891DA6}"/>
            </c:ext>
          </c:extLst>
        </c:ser>
        <c:ser>
          <c:idx val="2"/>
          <c:order val="1"/>
          <c:tx>
            <c:strRef>
              <c:f>'Seasonally adj series'!$F$1</c:f>
              <c:strCache>
                <c:ptCount val="1"/>
                <c:pt idx="0">
                  <c:v>RGDP_forecast(sa), yoy %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series'!$A$54:$A$82</c15:sqref>
                  </c15:fullRef>
                </c:ext>
              </c:extLst>
              <c:f>'Seasonally adj series'!$A$62:$A$82</c:f>
              <c:strCache>
                <c:ptCount val="21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  <c:pt idx="19">
                  <c:v>2025Q4</c:v>
                </c:pt>
                <c:pt idx="20">
                  <c:v>2026Q1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series'!$F$54:$F$82</c15:sqref>
                  </c15:fullRef>
                </c:ext>
              </c:extLst>
              <c:f>'Seasonally adj series'!$F$62:$F$82</c:f>
              <c:numCache>
                <c:formatCode>0.0%</c:formatCode>
                <c:ptCount val="21"/>
                <c:pt idx="0">
                  <c:v>5.4794330970733274E-2</c:v>
                </c:pt>
                <c:pt idx="1">
                  <c:v>0.12298801535895754</c:v>
                </c:pt>
                <c:pt idx="2">
                  <c:v>9.0669855535157717E-2</c:v>
                </c:pt>
                <c:pt idx="3">
                  <c:v>8.2481892539450818E-2</c:v>
                </c:pt>
                <c:pt idx="4">
                  <c:v>8.7473344422654753E-2</c:v>
                </c:pt>
                <c:pt idx="5">
                  <c:v>7.3844044338264636E-2</c:v>
                </c:pt>
                <c:pt idx="6">
                  <c:v>8.7834724052749058E-2</c:v>
                </c:pt>
                <c:pt idx="7">
                  <c:v>8.2244749432965003E-2</c:v>
                </c:pt>
                <c:pt idx="8">
                  <c:v>7.8179969377856207E-2</c:v>
                </c:pt>
                <c:pt idx="9">
                  <c:v>6.9154617116159445E-2</c:v>
                </c:pt>
                <c:pt idx="10">
                  <c:v>6.8357571811012319E-2</c:v>
                </c:pt>
                <c:pt idx="11">
                  <c:v>6.8466334586499533E-2</c:v>
                </c:pt>
                <c:pt idx="12">
                  <c:v>6.6429624490503825E-2</c:v>
                </c:pt>
                <c:pt idx="13">
                  <c:v>7.4812720970237612E-2</c:v>
                </c:pt>
                <c:pt idx="14">
                  <c:v>7.1266517086477688E-2</c:v>
                </c:pt>
                <c:pt idx="15">
                  <c:v>7.0165192224224571E-2</c:v>
                </c:pt>
                <c:pt idx="16">
                  <c:v>7.0420729419973904E-2</c:v>
                </c:pt>
                <c:pt idx="17">
                  <c:v>7.5494484530659989E-2</c:v>
                </c:pt>
                <c:pt idx="18">
                  <c:v>7.5915685062815763E-2</c:v>
                </c:pt>
                <c:pt idx="19">
                  <c:v>8.5887489416738516E-2</c:v>
                </c:pt>
                <c:pt idx="20">
                  <c:v>9.7323103833305558E-2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68E-4101-809B-C038E517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147679"/>
        <c:axId val="157147263"/>
      </c:lineChart>
      <c:catAx>
        <c:axId val="1571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1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263"/>
        <c:crosses val="autoZero"/>
        <c:auto val="1"/>
        <c:lblAlgn val="ctr"/>
        <c:lblOffset val="100"/>
        <c:noMultiLvlLbl val="0"/>
      </c:catAx>
      <c:valAx>
        <c:axId val="1571472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842010</xdr:colOff>
      <xdr:row>65</xdr:row>
      <xdr:rowOff>107950</xdr:rowOff>
    </xdr:from>
    <xdr:to>
      <xdr:col>7</xdr:col>
      <xdr:colOff>1421130</xdr:colOff>
      <xdr:row>86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861060</xdr:colOff>
      <xdr:row>116</xdr:row>
      <xdr:rowOff>3811</xdr:rowOff>
    </xdr:from>
    <xdr:to>
      <xdr:col>9</xdr:col>
      <xdr:colOff>49530</xdr:colOff>
      <xdr:row>138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857250</xdr:colOff>
      <xdr:row>55</xdr:row>
      <xdr:rowOff>106680</xdr:rowOff>
    </xdr:from>
    <xdr:to>
      <xdr:col>19</xdr:col>
      <xdr:colOff>453390</xdr:colOff>
      <xdr:row>77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D7A0-D021-9E50-F286-FB599683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742950</xdr:colOff>
      <xdr:row>109</xdr:row>
      <xdr:rowOff>83185</xdr:rowOff>
    </xdr:from>
    <xdr:to>
      <xdr:col>20</xdr:col>
      <xdr:colOff>1064260</xdr:colOff>
      <xdr:row>130</xdr:row>
      <xdr:rowOff>50165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3B690-51BA-EB01-0BDE-BBE997EE6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714373</xdr:colOff>
      <xdr:row>21</xdr:row>
      <xdr:rowOff>19050</xdr:rowOff>
    </xdr:from>
    <xdr:to>
      <xdr:col>31</xdr:col>
      <xdr:colOff>171449</xdr:colOff>
      <xdr:row>50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1990B2-9965-469E-B265-FDDBD6A96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1026401</xdr:colOff>
      <xdr:row>36</xdr:row>
      <xdr:rowOff>83973</xdr:rowOff>
    </xdr:from>
    <xdr:to>
      <xdr:col>15</xdr:col>
      <xdr:colOff>374540</xdr:colOff>
      <xdr:row>63</xdr:row>
      <xdr:rowOff>98534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CB158"/>
  <sheetViews>
    <sheetView tabSelected="1" workbookViewId="0">
      <pane ySplit="3" topLeftCell="A4" activePane="bottomLeft" state="frozen"/>
      <selection pane="bottomLeft" activeCell="L18" sqref="L18"/>
    </sheetView>
  </sheetViews>
  <sheetFormatPr defaultRowHeight="14.5" x14ac:dyDescent="0.35"/>
  <cols>
    <col min="1" max="1" width="12.7265625" customWidth="1"/>
    <col min="2" max="2" width="11.26953125" customWidth="1"/>
    <col min="3" max="3" width="12.1796875" bestFit="1" customWidth="1"/>
    <col min="4" max="4" width="13.26953125" bestFit="1" customWidth="1"/>
    <col min="5" max="7" width="13.26953125" customWidth="1"/>
    <col min="8" max="8" width="20.1796875" customWidth="1"/>
    <col min="9" max="9" width="18.26953125" customWidth="1"/>
    <col min="10" max="10" width="15.7265625" bestFit="1" customWidth="1"/>
    <col min="11" max="11" width="18.7265625" bestFit="1" customWidth="1"/>
    <col min="12" max="12" width="17.453125" customWidth="1"/>
    <col min="13" max="13" width="13.54296875" bestFit="1" customWidth="1"/>
    <col min="14" max="14" width="11.54296875" customWidth="1"/>
    <col min="15" max="15" width="11.81640625" bestFit="1" customWidth="1"/>
    <col min="16" max="16" width="14.453125" bestFit="1" customWidth="1"/>
    <col min="17" max="17" width="15.1796875" bestFit="1" customWidth="1"/>
    <col min="18" max="19" width="11.54296875" customWidth="1"/>
    <col min="20" max="21" width="16.1796875" bestFit="1" customWidth="1"/>
    <col min="22" max="22" width="17.453125" bestFit="1" customWidth="1"/>
    <col min="23" max="23" width="13.7265625" bestFit="1" customWidth="1"/>
    <col min="24" max="24" width="12.26953125" customWidth="1"/>
    <col min="25" max="25" width="11.81640625" customWidth="1"/>
    <col min="26" max="26" width="12.7265625" customWidth="1"/>
    <col min="27" max="27" width="10.453125" customWidth="1"/>
    <col min="28" max="28" width="11.26953125" customWidth="1"/>
    <col min="32" max="34" width="9.54296875" bestFit="1" customWidth="1"/>
  </cols>
  <sheetData>
    <row r="2" spans="1:15" x14ac:dyDescent="0.35">
      <c r="A2" s="5" t="s">
        <v>8</v>
      </c>
      <c r="B2" s="5"/>
      <c r="H2" t="s">
        <v>274</v>
      </c>
      <c r="I2" t="s">
        <v>238</v>
      </c>
    </row>
    <row r="3" spans="1:15" ht="15" thickBot="1" x14ac:dyDescent="0.4">
      <c r="B3" s="52" t="s">
        <v>272</v>
      </c>
      <c r="C3" s="109" t="s">
        <v>172</v>
      </c>
      <c r="D3" s="52" t="s">
        <v>173</v>
      </c>
      <c r="E3" s="52" t="s">
        <v>273</v>
      </c>
      <c r="F3" s="109" t="s">
        <v>172</v>
      </c>
      <c r="G3" s="52" t="s">
        <v>173</v>
      </c>
      <c r="H3" s="52" t="s">
        <v>190</v>
      </c>
      <c r="I3" s="109" t="s">
        <v>171</v>
      </c>
      <c r="J3" s="107" t="s">
        <v>174</v>
      </c>
      <c r="K3" s="107" t="s">
        <v>175</v>
      </c>
      <c r="L3" s="108" t="s">
        <v>237</v>
      </c>
      <c r="M3" s="107" t="s">
        <v>236</v>
      </c>
      <c r="N3" s="107" t="s">
        <v>235</v>
      </c>
    </row>
    <row r="4" spans="1:15" x14ac:dyDescent="0.35">
      <c r="A4" s="38" t="s">
        <v>0</v>
      </c>
      <c r="B4" s="132">
        <v>2723</v>
      </c>
      <c r="C4" s="40"/>
      <c r="D4" s="41"/>
      <c r="E4" s="125">
        <v>1678</v>
      </c>
      <c r="F4" s="133"/>
      <c r="G4" s="133"/>
      <c r="H4" s="37">
        <v>2732.7829999999999</v>
      </c>
      <c r="I4" s="37">
        <v>2747.1379999999999</v>
      </c>
      <c r="J4" s="37">
        <v>2696.27</v>
      </c>
      <c r="K4" s="37">
        <v>2724.7849999999999</v>
      </c>
    </row>
    <row r="5" spans="1:15" x14ac:dyDescent="0.35">
      <c r="A5" s="42" t="s">
        <v>1</v>
      </c>
      <c r="B5" s="132">
        <v>2858</v>
      </c>
      <c r="C5" s="44">
        <f t="shared" ref="C5:C21" si="0">B5/B4-1</f>
        <v>4.9577671685640867E-2</v>
      </c>
      <c r="D5" s="45"/>
      <c r="E5" s="125">
        <v>1724</v>
      </c>
      <c r="F5" s="133"/>
      <c r="G5" s="133"/>
      <c r="H5" s="37">
        <v>2813.8020000000001</v>
      </c>
      <c r="I5" s="37">
        <v>2806.3389999999999</v>
      </c>
      <c r="J5" s="37">
        <v>2902.2750000000001</v>
      </c>
      <c r="K5" s="37">
        <v>2798.585</v>
      </c>
    </row>
    <row r="6" spans="1:15" x14ac:dyDescent="0.35">
      <c r="A6" s="42" t="s">
        <v>2</v>
      </c>
      <c r="B6" s="132">
        <v>2569</v>
      </c>
      <c r="C6" s="44">
        <f t="shared" si="0"/>
        <v>-0.10111966410076978</v>
      </c>
      <c r="D6" s="45"/>
      <c r="E6" s="125">
        <v>1776</v>
      </c>
      <c r="F6" s="133"/>
      <c r="G6" s="133"/>
      <c r="H6" s="37">
        <v>2783.4830000000002</v>
      </c>
      <c r="I6" s="37">
        <v>2829.3690000000001</v>
      </c>
      <c r="J6" s="37">
        <v>2750.0160000000001</v>
      </c>
      <c r="K6" s="37">
        <v>2787.268</v>
      </c>
    </row>
    <row r="7" spans="1:15" x14ac:dyDescent="0.35">
      <c r="A7" s="42" t="s">
        <v>3</v>
      </c>
      <c r="B7" s="132">
        <v>3164</v>
      </c>
      <c r="C7" s="44">
        <f t="shared" si="0"/>
        <v>0.23160762942779289</v>
      </c>
      <c r="D7" s="45"/>
      <c r="E7" s="125">
        <v>1808</v>
      </c>
      <c r="F7" s="133"/>
      <c r="G7" s="133"/>
      <c r="H7" s="37">
        <v>2998.5569999999998</v>
      </c>
      <c r="I7" s="37">
        <v>2914.8339999999998</v>
      </c>
      <c r="J7" s="37">
        <v>2935.4490000000001</v>
      </c>
      <c r="K7" s="37">
        <v>2998.567</v>
      </c>
    </row>
    <row r="8" spans="1:15" x14ac:dyDescent="0.35">
      <c r="A8" s="46" t="s">
        <v>4</v>
      </c>
      <c r="B8" s="132">
        <v>2955</v>
      </c>
      <c r="C8" s="44">
        <f t="shared" si="0"/>
        <v>-6.6055625790139016E-2</v>
      </c>
      <c r="D8" s="47">
        <f>B8/B4-1</f>
        <v>8.5200146896804885E-2</v>
      </c>
      <c r="E8" s="125">
        <v>1858</v>
      </c>
      <c r="F8" s="134">
        <f>E8/E7-1</f>
        <v>2.7654867256637239E-2</v>
      </c>
      <c r="G8" s="134">
        <f>E8/E4-1</f>
        <v>0.10727056019070313</v>
      </c>
      <c r="H8" s="37">
        <v>2928.25</v>
      </c>
      <c r="I8" s="37">
        <v>2936.337</v>
      </c>
      <c r="J8" s="37">
        <v>2849.7080000000001</v>
      </c>
      <c r="K8" s="37">
        <v>2939.4380000000001</v>
      </c>
      <c r="L8" s="1">
        <f>H8/H4-1</f>
        <v>7.1526718367320052E-2</v>
      </c>
      <c r="M8" s="80">
        <f>K8/K4-1</f>
        <v>7.8777958627928468E-2</v>
      </c>
      <c r="N8" s="80">
        <f>J8/J4-1</f>
        <v>5.6907505553968951E-2</v>
      </c>
      <c r="O8" s="81"/>
    </row>
    <row r="9" spans="1:15" x14ac:dyDescent="0.35">
      <c r="A9" s="48" t="s">
        <v>5</v>
      </c>
      <c r="B9" s="132">
        <v>3059</v>
      </c>
      <c r="C9" s="44">
        <f t="shared" si="0"/>
        <v>3.5194585448392601E-2</v>
      </c>
      <c r="D9" s="47">
        <f>B9/B5-1</f>
        <v>7.0328901329601123E-2</v>
      </c>
      <c r="E9" s="125">
        <v>1872</v>
      </c>
      <c r="F9" s="134">
        <f t="shared" ref="F9:F49" si="1">E9/E8-1</f>
        <v>7.5349838536060698E-3</v>
      </c>
      <c r="G9" s="134">
        <f t="shared" ref="G9:G49" si="2">E9/E5-1</f>
        <v>8.5846867749419964E-2</v>
      </c>
      <c r="H9" s="37">
        <v>2994.6729999999998</v>
      </c>
      <c r="I9" s="37">
        <v>2968.277</v>
      </c>
      <c r="J9" s="37">
        <v>2978.6309999999999</v>
      </c>
      <c r="K9" s="37">
        <v>2998.0549999999998</v>
      </c>
      <c r="L9" s="1">
        <f t="shared" ref="L9:L37" si="3">H9/H5-1</f>
        <v>6.4279931565902615E-2</v>
      </c>
      <c r="M9" s="80">
        <f t="shared" ref="M9:M39" si="4">K9/K5-1</f>
        <v>7.1275305198877259E-2</v>
      </c>
      <c r="N9" s="80">
        <f t="shared" ref="N9:N40" si="5">J9/J5-1</f>
        <v>2.6309016202806346E-2</v>
      </c>
      <c r="O9" s="81"/>
    </row>
    <row r="10" spans="1:15" x14ac:dyDescent="0.35">
      <c r="A10" s="48" t="s">
        <v>6</v>
      </c>
      <c r="B10" s="132">
        <v>2689</v>
      </c>
      <c r="C10" s="44">
        <f t="shared" si="0"/>
        <v>-0.12095456031382801</v>
      </c>
      <c r="D10" s="47">
        <f t="shared" ref="D10:D31" si="6">B10/B6-1</f>
        <v>4.6710782405605222E-2</v>
      </c>
      <c r="E10" s="125">
        <v>1833</v>
      </c>
      <c r="F10" s="134">
        <f t="shared" si="1"/>
        <v>-2.083333333333337E-2</v>
      </c>
      <c r="G10" s="134">
        <f t="shared" si="2"/>
        <v>3.2094594594594517E-2</v>
      </c>
      <c r="H10" s="37">
        <v>2937.5439999999999</v>
      </c>
      <c r="I10" s="37">
        <v>3048.7</v>
      </c>
      <c r="J10" s="37">
        <v>3060.0549999999998</v>
      </c>
      <c r="K10" s="37">
        <v>2943.7449999999999</v>
      </c>
      <c r="L10" s="1">
        <f t="shared" si="3"/>
        <v>5.5348281272060929E-2</v>
      </c>
      <c r="M10" s="80">
        <f t="shared" si="4"/>
        <v>5.6139919089229995E-2</v>
      </c>
      <c r="N10" s="80">
        <f t="shared" si="5"/>
        <v>0.11274079859898989</v>
      </c>
      <c r="O10" s="81"/>
    </row>
    <row r="11" spans="1:15" x14ac:dyDescent="0.35">
      <c r="A11" s="48" t="s">
        <v>7</v>
      </c>
      <c r="B11" s="132">
        <v>3251</v>
      </c>
      <c r="C11" s="44">
        <f t="shared" si="0"/>
        <v>0.20899962811454076</v>
      </c>
      <c r="D11" s="47">
        <f t="shared" si="6"/>
        <v>2.7496839443742038E-2</v>
      </c>
      <c r="E11" s="125">
        <v>1841</v>
      </c>
      <c r="F11" s="134">
        <f t="shared" si="1"/>
        <v>4.3644298963447792E-3</v>
      </c>
      <c r="G11" s="134">
        <f t="shared" si="2"/>
        <v>1.8252212389380462E-2</v>
      </c>
      <c r="H11" s="37">
        <v>3138.5819999999999</v>
      </c>
      <c r="I11" s="37">
        <v>3060.587</v>
      </c>
      <c r="J11" s="37">
        <v>3133.1590000000001</v>
      </c>
      <c r="K11" s="37">
        <v>3130.73</v>
      </c>
      <c r="L11" s="1">
        <f t="shared" si="3"/>
        <v>4.6697461478971469E-2</v>
      </c>
      <c r="M11" s="80">
        <f t="shared" si="4"/>
        <v>4.4075386676369011E-2</v>
      </c>
      <c r="N11" s="80">
        <f t="shared" si="5"/>
        <v>6.7352558330940226E-2</v>
      </c>
      <c r="O11" s="81"/>
    </row>
    <row r="12" spans="1:15" x14ac:dyDescent="0.35">
      <c r="A12" s="48" t="s">
        <v>9</v>
      </c>
      <c r="B12" s="132">
        <v>3016</v>
      </c>
      <c r="C12" s="44">
        <f t="shared" si="0"/>
        <v>-7.2285450630575232E-2</v>
      </c>
      <c r="D12" s="47">
        <f t="shared" si="6"/>
        <v>2.0642978003384105E-2</v>
      </c>
      <c r="E12" s="125">
        <v>1862</v>
      </c>
      <c r="F12" s="134">
        <f t="shared" si="1"/>
        <v>1.1406844106463865E-2</v>
      </c>
      <c r="G12" s="134">
        <f t="shared" si="2"/>
        <v>2.1528525296017342E-3</v>
      </c>
      <c r="H12" s="37">
        <v>3083.058</v>
      </c>
      <c r="I12" s="37">
        <v>3078.5120000000002</v>
      </c>
      <c r="J12" s="37">
        <v>3013.3470000000002</v>
      </c>
      <c r="K12" s="37">
        <v>3078.087</v>
      </c>
      <c r="L12" s="1">
        <f t="shared" si="3"/>
        <v>5.2867070776060787E-2</v>
      </c>
      <c r="M12" s="80">
        <f t="shared" si="4"/>
        <v>4.7168540380848167E-2</v>
      </c>
      <c r="N12" s="80">
        <f t="shared" si="5"/>
        <v>5.7423076329224054E-2</v>
      </c>
      <c r="O12" s="81"/>
    </row>
    <row r="13" spans="1:15" x14ac:dyDescent="0.35">
      <c r="A13" s="48" t="s">
        <v>46</v>
      </c>
      <c r="B13" s="132">
        <v>3213</v>
      </c>
      <c r="C13" s="44">
        <f t="shared" si="0"/>
        <v>6.5318302387267879E-2</v>
      </c>
      <c r="D13" s="47">
        <f t="shared" si="6"/>
        <v>5.034324942791768E-2</v>
      </c>
      <c r="E13" s="125">
        <v>1904</v>
      </c>
      <c r="F13" s="134">
        <f t="shared" si="1"/>
        <v>2.2556390977443552E-2</v>
      </c>
      <c r="G13" s="134">
        <f t="shared" si="2"/>
        <v>1.7094017094017033E-2</v>
      </c>
      <c r="H13" s="37">
        <v>3163.2159999999999</v>
      </c>
      <c r="I13" s="37">
        <v>3124.6979999999999</v>
      </c>
      <c r="J13" s="37">
        <v>3101.2049999999999</v>
      </c>
      <c r="K13" s="37">
        <v>3158.9070000000002</v>
      </c>
      <c r="L13" s="1">
        <f t="shared" si="3"/>
        <v>5.6280936182347752E-2</v>
      </c>
      <c r="M13" s="80">
        <f>K13/K9-1</f>
        <v>5.3652117789700471E-2</v>
      </c>
      <c r="N13" s="80">
        <f>J13/J9-1</f>
        <v>4.1151119423654681E-2</v>
      </c>
      <c r="O13" s="81"/>
    </row>
    <row r="14" spans="1:15" x14ac:dyDescent="0.35">
      <c r="A14" s="48" t="s">
        <v>47</v>
      </c>
      <c r="B14" s="132">
        <v>2808</v>
      </c>
      <c r="C14" s="44">
        <f t="shared" si="0"/>
        <v>-0.12605042016806722</v>
      </c>
      <c r="D14" s="47">
        <f t="shared" si="6"/>
        <v>4.4254369654146419E-2</v>
      </c>
      <c r="E14" s="125">
        <v>1955</v>
      </c>
      <c r="F14" s="134">
        <f t="shared" si="1"/>
        <v>2.6785714285714191E-2</v>
      </c>
      <c r="G14" s="134">
        <f t="shared" si="2"/>
        <v>6.6557555919257938E-2</v>
      </c>
      <c r="H14" s="37">
        <v>3135.3150000000001</v>
      </c>
      <c r="I14" s="37">
        <v>3167.739</v>
      </c>
      <c r="J14" s="37">
        <v>3046.7139999999999</v>
      </c>
      <c r="K14" s="37">
        <v>3128.6480000000001</v>
      </c>
      <c r="L14" s="1">
        <f t="shared" si="3"/>
        <v>6.7325289425452128E-2</v>
      </c>
      <c r="M14" s="80">
        <f t="shared" si="4"/>
        <v>6.281216613531404E-2</v>
      </c>
      <c r="N14" s="80">
        <f t="shared" si="5"/>
        <v>-4.3597255604882479E-3</v>
      </c>
      <c r="O14" s="81"/>
    </row>
    <row r="15" spans="1:15" x14ac:dyDescent="0.35">
      <c r="A15" s="48" t="s">
        <v>48</v>
      </c>
      <c r="B15" s="132">
        <v>3479</v>
      </c>
      <c r="C15" s="44">
        <f t="shared" si="0"/>
        <v>0.23896011396011385</v>
      </c>
      <c r="D15" s="47">
        <f t="shared" si="6"/>
        <v>7.013226699477082E-2</v>
      </c>
      <c r="E15" s="125">
        <v>1973</v>
      </c>
      <c r="F15" s="134">
        <f t="shared" si="1"/>
        <v>9.2071611253197183E-3</v>
      </c>
      <c r="G15" s="134">
        <f t="shared" si="2"/>
        <v>7.170016295491588E-2</v>
      </c>
      <c r="H15" s="37">
        <v>3360.9490000000001</v>
      </c>
      <c r="I15" s="37">
        <v>3258.4830000000002</v>
      </c>
      <c r="J15" s="37">
        <v>3324.721</v>
      </c>
      <c r="K15" s="37">
        <v>3346.6060000000002</v>
      </c>
      <c r="L15" s="1">
        <f t="shared" si="3"/>
        <v>7.084951102121928E-2</v>
      </c>
      <c r="M15" s="80">
        <f t="shared" si="4"/>
        <v>6.8953886154347499E-2</v>
      </c>
      <c r="N15" s="80">
        <f t="shared" si="5"/>
        <v>6.1140210247867977E-2</v>
      </c>
      <c r="O15" s="81"/>
    </row>
    <row r="16" spans="1:15" x14ac:dyDescent="0.35">
      <c r="A16" s="48" t="s">
        <v>49</v>
      </c>
      <c r="B16" s="132">
        <v>3264</v>
      </c>
      <c r="C16" s="44">
        <f t="shared" si="0"/>
        <v>-6.1799367634377655E-2</v>
      </c>
      <c r="D16" s="47">
        <f t="shared" si="6"/>
        <v>8.2228116710875376E-2</v>
      </c>
      <c r="E16" s="125">
        <v>2043</v>
      </c>
      <c r="F16" s="134">
        <f t="shared" si="1"/>
        <v>3.5478966041561089E-2</v>
      </c>
      <c r="G16" s="134">
        <f t="shared" si="2"/>
        <v>9.7207303974221171E-2</v>
      </c>
      <c r="H16" s="37">
        <v>3306.9070000000002</v>
      </c>
      <c r="I16" s="37">
        <v>3289.9560000000001</v>
      </c>
      <c r="J16" s="37">
        <v>3226.9349999999999</v>
      </c>
      <c r="K16" s="37">
        <v>3295.3020000000001</v>
      </c>
      <c r="L16" s="1">
        <f t="shared" si="3"/>
        <v>7.260615920946023E-2</v>
      </c>
      <c r="M16" s="80">
        <f t="shared" si="4"/>
        <v>7.0568180821399817E-2</v>
      </c>
      <c r="N16" s="80">
        <f t="shared" si="5"/>
        <v>7.08806519793439E-2</v>
      </c>
      <c r="O16" s="81"/>
    </row>
    <row r="17" spans="1:17" x14ac:dyDescent="0.35">
      <c r="A17" s="48" t="s">
        <v>50</v>
      </c>
      <c r="B17" s="132">
        <v>3433</v>
      </c>
      <c r="C17" s="44">
        <f t="shared" si="0"/>
        <v>5.1776960784313708E-2</v>
      </c>
      <c r="D17" s="47">
        <f t="shared" si="6"/>
        <v>6.8471833177715435E-2</v>
      </c>
      <c r="E17" s="125">
        <v>2052</v>
      </c>
      <c r="F17" s="134">
        <f t="shared" si="1"/>
        <v>4.405286343612369E-3</v>
      </c>
      <c r="G17" s="134">
        <f t="shared" si="2"/>
        <v>7.7731092436974736E-2</v>
      </c>
      <c r="H17" s="37">
        <v>3377.1390000000001</v>
      </c>
      <c r="I17" s="37">
        <v>3318.7710000000002</v>
      </c>
      <c r="J17" s="37">
        <v>3272.28</v>
      </c>
      <c r="K17" s="37">
        <v>3355.2109999999998</v>
      </c>
      <c r="L17" s="1">
        <f t="shared" si="3"/>
        <v>6.7628325096990016E-2</v>
      </c>
      <c r="M17" s="80">
        <f t="shared" si="4"/>
        <v>6.2143013390390855E-2</v>
      </c>
      <c r="N17" s="80">
        <f t="shared" si="5"/>
        <v>5.5164041074356573E-2</v>
      </c>
      <c r="O17" s="81"/>
    </row>
    <row r="18" spans="1:17" x14ac:dyDescent="0.35">
      <c r="A18" s="48" t="s">
        <v>68</v>
      </c>
      <c r="B18" s="132">
        <v>3026</v>
      </c>
      <c r="C18" s="44">
        <f t="shared" si="0"/>
        <v>-0.11855519953393534</v>
      </c>
      <c r="D18" s="47">
        <f t="shared" si="6"/>
        <v>7.7635327635327656E-2</v>
      </c>
      <c r="E18" s="125">
        <v>2092</v>
      </c>
      <c r="F18" s="134">
        <f t="shared" si="1"/>
        <v>1.949317738791434E-2</v>
      </c>
      <c r="G18" s="134">
        <f t="shared" si="2"/>
        <v>7.0076726342710893E-2</v>
      </c>
      <c r="H18" s="37">
        <v>3308.7539999999999</v>
      </c>
      <c r="I18" s="37">
        <v>3340.6260000000002</v>
      </c>
      <c r="J18" s="37">
        <v>3219.7660000000001</v>
      </c>
      <c r="K18" s="37">
        <v>3293.2510000000002</v>
      </c>
      <c r="L18" s="1">
        <f t="shared" si="3"/>
        <v>5.5317886719516096E-2</v>
      </c>
      <c r="M18" s="80">
        <f t="shared" si="4"/>
        <v>5.2611543388709769E-2</v>
      </c>
      <c r="N18" s="80">
        <f t="shared" si="5"/>
        <v>5.6799555192906137E-2</v>
      </c>
      <c r="O18" s="81"/>
    </row>
    <row r="19" spans="1:17" x14ac:dyDescent="0.35">
      <c r="A19" s="48" t="s">
        <v>91</v>
      </c>
      <c r="B19" s="132">
        <v>3803</v>
      </c>
      <c r="C19" s="44">
        <f t="shared" si="0"/>
        <v>0.25677461996034379</v>
      </c>
      <c r="D19" s="47">
        <f t="shared" si="6"/>
        <v>9.3130209830410982E-2</v>
      </c>
      <c r="E19" s="125">
        <v>2162</v>
      </c>
      <c r="F19" s="134">
        <f t="shared" si="1"/>
        <v>3.3460803059273347E-2</v>
      </c>
      <c r="G19" s="134">
        <f t="shared" si="2"/>
        <v>9.5793208312214828E-2</v>
      </c>
      <c r="H19" s="37">
        <v>3550.3319999999999</v>
      </c>
      <c r="I19" s="37">
        <v>3396.395</v>
      </c>
      <c r="J19" s="37">
        <v>3396.672</v>
      </c>
      <c r="K19" s="37">
        <v>3529.846</v>
      </c>
      <c r="L19" s="1">
        <f t="shared" si="3"/>
        <v>5.6348073118634101E-2</v>
      </c>
      <c r="M19" s="80">
        <f t="shared" si="4"/>
        <v>5.475398060004677E-2</v>
      </c>
      <c r="N19" s="80">
        <f t="shared" si="5"/>
        <v>2.1641214405659914E-2</v>
      </c>
      <c r="O19" s="81"/>
    </row>
    <row r="20" spans="1:17" x14ac:dyDescent="0.35">
      <c r="A20" s="48" t="s">
        <v>123</v>
      </c>
      <c r="B20" s="132">
        <v>3468</v>
      </c>
      <c r="C20" s="44">
        <f t="shared" si="0"/>
        <v>-8.8088351301603973E-2</v>
      </c>
      <c r="D20" s="47">
        <f t="shared" si="6"/>
        <v>6.25E-2</v>
      </c>
      <c r="E20" s="125">
        <v>2168</v>
      </c>
      <c r="F20" s="134">
        <f t="shared" si="1"/>
        <v>2.7752081406104967E-3</v>
      </c>
      <c r="G20" s="134">
        <f t="shared" si="2"/>
        <v>6.1184532550171422E-2</v>
      </c>
      <c r="H20" s="37">
        <v>3518.8409999999999</v>
      </c>
      <c r="I20" s="37">
        <v>3508.9549999999999</v>
      </c>
      <c r="J20" s="37">
        <v>3449.25</v>
      </c>
      <c r="K20" s="37">
        <v>3515.3719999999998</v>
      </c>
      <c r="L20" s="1">
        <f t="shared" si="3"/>
        <v>6.408828551876411E-2</v>
      </c>
      <c r="M20" s="80">
        <f t="shared" si="4"/>
        <v>6.67829534288511E-2</v>
      </c>
      <c r="N20" s="80">
        <f t="shared" si="5"/>
        <v>6.8893547592374871E-2</v>
      </c>
      <c r="O20" s="81"/>
    </row>
    <row r="21" spans="1:17" x14ac:dyDescent="0.35">
      <c r="A21" s="48" t="s">
        <v>126</v>
      </c>
      <c r="B21" s="132">
        <v>3885</v>
      </c>
      <c r="C21" s="44">
        <f t="shared" si="0"/>
        <v>0.12024221453287187</v>
      </c>
      <c r="D21" s="47">
        <f>B21/B17-1</f>
        <v>0.13166326827847374</v>
      </c>
      <c r="E21" s="125">
        <v>2305</v>
      </c>
      <c r="F21" s="134">
        <f t="shared" si="1"/>
        <v>6.3191881918819082E-2</v>
      </c>
      <c r="G21" s="134">
        <f t="shared" si="2"/>
        <v>0.12329434697855746</v>
      </c>
      <c r="H21" s="37">
        <v>3649.806</v>
      </c>
      <c r="I21" s="37">
        <v>3526.5070000000001</v>
      </c>
      <c r="J21" s="37">
        <v>3361.8530000000001</v>
      </c>
      <c r="K21" s="37">
        <v>3625.2249999999999</v>
      </c>
      <c r="L21" s="1">
        <f t="shared" si="3"/>
        <v>8.0739051605515755E-2</v>
      </c>
      <c r="M21" s="80">
        <f t="shared" si="4"/>
        <v>8.0476011791806856E-2</v>
      </c>
      <c r="N21" s="80">
        <f t="shared" si="5"/>
        <v>2.7373268791179184E-2</v>
      </c>
      <c r="O21" s="81"/>
    </row>
    <row r="22" spans="1:17" x14ac:dyDescent="0.35">
      <c r="A22" s="48" t="s">
        <v>128</v>
      </c>
      <c r="B22" s="132">
        <v>3383</v>
      </c>
      <c r="C22" s="44">
        <f t="shared" ref="C22:C39" si="7">B22/B21-1</f>
        <v>-0.12921492921492916</v>
      </c>
      <c r="D22" s="47">
        <f t="shared" si="6"/>
        <v>0.1179775280898876</v>
      </c>
      <c r="E22" s="125">
        <v>2321</v>
      </c>
      <c r="F22" s="134">
        <f t="shared" si="1"/>
        <v>6.94143167028205E-3</v>
      </c>
      <c r="G22" s="134">
        <f t="shared" si="2"/>
        <v>0.10946462715105154</v>
      </c>
      <c r="H22" s="37">
        <v>3558.5250000000001</v>
      </c>
      <c r="I22" s="37">
        <v>3614.9949999999999</v>
      </c>
      <c r="J22" s="37">
        <v>3489.127</v>
      </c>
      <c r="K22" s="37">
        <v>3559.712</v>
      </c>
      <c r="L22" s="1">
        <f t="shared" si="3"/>
        <v>7.5487932919763745E-2</v>
      </c>
      <c r="M22" s="80">
        <f t="shared" si="4"/>
        <v>8.0911233307148445E-2</v>
      </c>
      <c r="N22" s="80">
        <f t="shared" si="5"/>
        <v>8.3658564007446534E-2</v>
      </c>
      <c r="O22" s="81"/>
    </row>
    <row r="23" spans="1:17" x14ac:dyDescent="0.35">
      <c r="A23" s="48" t="s">
        <v>129</v>
      </c>
      <c r="B23" s="132">
        <v>4046</v>
      </c>
      <c r="C23" s="44">
        <f t="shared" si="7"/>
        <v>0.19597989949748751</v>
      </c>
      <c r="D23" s="47">
        <f t="shared" si="6"/>
        <v>6.389692348146192E-2</v>
      </c>
      <c r="E23" s="125">
        <v>2344</v>
      </c>
      <c r="F23" s="134">
        <f t="shared" si="1"/>
        <v>9.9095217578630823E-3</v>
      </c>
      <c r="G23" s="134">
        <f t="shared" si="2"/>
        <v>8.418131359851988E-2</v>
      </c>
      <c r="H23" s="37">
        <v>3793.81</v>
      </c>
      <c r="I23" s="37">
        <v>3615.837</v>
      </c>
      <c r="J23" s="37">
        <v>3605.3530000000001</v>
      </c>
      <c r="K23" s="37">
        <v>3761.1410000000001</v>
      </c>
      <c r="L23" s="1">
        <f t="shared" si="3"/>
        <v>6.8578938533072398E-2</v>
      </c>
      <c r="M23" s="80">
        <f t="shared" si="4"/>
        <v>6.5525521510003681E-2</v>
      </c>
      <c r="N23" s="80">
        <f t="shared" si="5"/>
        <v>6.1436900589753707E-2</v>
      </c>
      <c r="O23" s="81"/>
    </row>
    <row r="24" spans="1:17" x14ac:dyDescent="0.35">
      <c r="A24" s="48" t="s">
        <v>130</v>
      </c>
      <c r="B24" s="132">
        <v>3621</v>
      </c>
      <c r="C24" s="44">
        <f t="shared" si="7"/>
        <v>-0.10504201680672265</v>
      </c>
      <c r="D24" s="47">
        <f t="shared" si="6"/>
        <v>4.4117647058823595E-2</v>
      </c>
      <c r="E24" s="125">
        <v>2249</v>
      </c>
      <c r="F24" s="134">
        <f t="shared" si="1"/>
        <v>-4.052901023890787E-2</v>
      </c>
      <c r="G24" s="134">
        <f t="shared" si="2"/>
        <v>3.7361623616236184E-2</v>
      </c>
      <c r="H24" s="37">
        <v>3700.16</v>
      </c>
      <c r="I24" s="37">
        <v>3632.2460000000001</v>
      </c>
      <c r="J24" s="37">
        <v>3542.9180000000001</v>
      </c>
      <c r="K24" s="37">
        <v>3657.6129999999998</v>
      </c>
      <c r="L24" s="1">
        <f t="shared" si="3"/>
        <v>5.1528045740060424E-2</v>
      </c>
      <c r="M24" s="80">
        <f t="shared" si="4"/>
        <v>4.0462574088887315E-2</v>
      </c>
      <c r="N24" s="80">
        <f t="shared" si="5"/>
        <v>2.7156048416322465E-2</v>
      </c>
      <c r="O24" s="81"/>
    </row>
    <row r="25" spans="1:17" x14ac:dyDescent="0.35">
      <c r="A25" s="48" t="s">
        <v>147</v>
      </c>
      <c r="B25" s="132">
        <v>3451</v>
      </c>
      <c r="C25" s="44">
        <f t="shared" si="7"/>
        <v>-4.6948356807511749E-2</v>
      </c>
      <c r="D25" s="47">
        <f t="shared" si="6"/>
        <v>-0.11171171171171168</v>
      </c>
      <c r="E25" s="125">
        <v>2017</v>
      </c>
      <c r="F25" s="134">
        <f t="shared" si="1"/>
        <v>-0.10315695864828811</v>
      </c>
      <c r="G25" s="134">
        <f t="shared" si="2"/>
        <v>-0.1249457700650759</v>
      </c>
      <c r="H25" s="37">
        <v>3643.2510000000002</v>
      </c>
      <c r="I25" s="37">
        <v>3451.819</v>
      </c>
      <c r="J25" s="37">
        <v>3257.3110000000001</v>
      </c>
      <c r="K25" s="37">
        <v>3568.5790000000002</v>
      </c>
      <c r="L25" s="1">
        <f t="shared" si="3"/>
        <v>-1.7959858688378905E-3</v>
      </c>
      <c r="M25" s="80">
        <f t="shared" si="4"/>
        <v>-1.5625512899199334E-2</v>
      </c>
      <c r="N25" s="80">
        <f t="shared" si="5"/>
        <v>-3.1096541103968534E-2</v>
      </c>
      <c r="O25" s="81"/>
    </row>
    <row r="26" spans="1:17" x14ac:dyDescent="0.35">
      <c r="A26" s="48" t="s">
        <v>148</v>
      </c>
      <c r="B26" s="132">
        <v>3258</v>
      </c>
      <c r="C26" s="44">
        <f t="shared" si="7"/>
        <v>-5.5925818603303368E-2</v>
      </c>
      <c r="D26" s="47">
        <f t="shared" si="6"/>
        <v>-3.6949453148093392E-2</v>
      </c>
      <c r="E26" s="125">
        <v>2235</v>
      </c>
      <c r="F26" s="134">
        <f t="shared" si="1"/>
        <v>0.10808130887456624</v>
      </c>
      <c r="G26" s="134">
        <f t="shared" si="2"/>
        <v>-3.7052994398965922E-2</v>
      </c>
      <c r="H26" s="37">
        <v>3665.752</v>
      </c>
      <c r="I26" s="37">
        <v>3609.2350000000001</v>
      </c>
      <c r="J26" s="37">
        <v>3358.9830000000002</v>
      </c>
      <c r="K26" s="37">
        <v>3619.4140000000002</v>
      </c>
      <c r="L26" s="1">
        <f t="shared" si="3"/>
        <v>3.0132428464040517E-2</v>
      </c>
      <c r="M26" s="80">
        <f t="shared" si="4"/>
        <v>1.6771581521201728E-2</v>
      </c>
      <c r="N26" s="80">
        <f t="shared" si="5"/>
        <v>-3.7299874725110205E-2</v>
      </c>
      <c r="O26" s="81"/>
    </row>
    <row r="27" spans="1:17" x14ac:dyDescent="0.35">
      <c r="A27" s="48" t="s">
        <v>153</v>
      </c>
      <c r="B27" s="132">
        <v>4042</v>
      </c>
      <c r="C27" s="44">
        <f t="shared" si="7"/>
        <v>0.2406384284837324</v>
      </c>
      <c r="D27" s="47">
        <f t="shared" si="6"/>
        <v>-9.8863074641619697E-4</v>
      </c>
      <c r="E27" s="125">
        <v>2329</v>
      </c>
      <c r="F27" s="134">
        <f t="shared" si="1"/>
        <v>4.2058165548098492E-2</v>
      </c>
      <c r="G27" s="134">
        <f t="shared" si="2"/>
        <v>-6.3993174061433011E-3</v>
      </c>
      <c r="H27" s="37">
        <v>3938.3409999999999</v>
      </c>
      <c r="I27" s="37">
        <v>3694.5459999999998</v>
      </c>
      <c r="J27" s="37">
        <v>3605.9479999999999</v>
      </c>
      <c r="K27" s="37">
        <v>3886.3069999999998</v>
      </c>
      <c r="L27" s="1">
        <f t="shared" si="3"/>
        <v>3.8096530928011685E-2</v>
      </c>
      <c r="M27" s="80">
        <f t="shared" si="4"/>
        <v>3.3278731108458803E-2</v>
      </c>
      <c r="N27" s="80">
        <f t="shared" si="5"/>
        <v>1.6503238379139695E-4</v>
      </c>
      <c r="O27" s="81"/>
    </row>
    <row r="28" spans="1:17" x14ac:dyDescent="0.35">
      <c r="A28" s="48" t="s">
        <v>154</v>
      </c>
      <c r="B28" s="132">
        <v>3707</v>
      </c>
      <c r="C28" s="44">
        <f t="shared" si="7"/>
        <v>-8.2879762493814901E-2</v>
      </c>
      <c r="D28" s="47">
        <f t="shared" si="6"/>
        <v>2.3750345208505941E-2</v>
      </c>
      <c r="E28" s="125">
        <v>2327</v>
      </c>
      <c r="F28" s="134">
        <f t="shared" si="1"/>
        <v>-8.5873765564614679E-4</v>
      </c>
      <c r="G28" s="134">
        <f t="shared" si="2"/>
        <v>3.4682080924855585E-2</v>
      </c>
      <c r="H28" s="37">
        <v>3925.3319999999999</v>
      </c>
      <c r="I28" s="37">
        <v>3752.567</v>
      </c>
      <c r="J28" s="37">
        <v>3465.5390000000002</v>
      </c>
      <c r="K28" s="37">
        <v>3883.652</v>
      </c>
      <c r="L28" s="1">
        <f t="shared" si="3"/>
        <v>6.0854665744183967E-2</v>
      </c>
      <c r="M28" s="80">
        <f t="shared" si="4"/>
        <v>6.1799594434949867E-2</v>
      </c>
      <c r="N28" s="80">
        <f t="shared" si="5"/>
        <v>-2.1840471611253798E-2</v>
      </c>
      <c r="O28" s="81"/>
      <c r="Q28">
        <v>6.5</v>
      </c>
    </row>
    <row r="29" spans="1:17" x14ac:dyDescent="0.35">
      <c r="A29" s="48" t="s">
        <v>155</v>
      </c>
      <c r="B29" s="132">
        <v>4070</v>
      </c>
      <c r="C29" s="44">
        <f t="shared" si="7"/>
        <v>9.7922848664688367E-2</v>
      </c>
      <c r="D29" s="47">
        <f t="shared" si="6"/>
        <v>0.17936829904375551</v>
      </c>
      <c r="E29" s="125">
        <v>2433</v>
      </c>
      <c r="F29" s="134">
        <f t="shared" si="1"/>
        <v>4.5552213149978593E-2</v>
      </c>
      <c r="G29" s="134">
        <f t="shared" si="2"/>
        <v>0.20624690133862167</v>
      </c>
      <c r="H29" s="37">
        <v>4062.8629999999998</v>
      </c>
      <c r="I29" s="37">
        <v>3853.8629999999998</v>
      </c>
      <c r="J29" s="37">
        <v>3597.1309999999999</v>
      </c>
      <c r="K29" s="37">
        <v>4009.7640000000001</v>
      </c>
      <c r="L29" s="1">
        <f t="shared" si="3"/>
        <v>0.11517515537633827</v>
      </c>
      <c r="M29" s="80">
        <f t="shared" si="4"/>
        <v>0.12363044225726827</v>
      </c>
      <c r="N29" s="80">
        <f t="shared" si="5"/>
        <v>0.10432531618872121</v>
      </c>
      <c r="O29" s="81"/>
      <c r="Q29">
        <v>7.8</v>
      </c>
    </row>
    <row r="30" spans="1:17" x14ac:dyDescent="0.35">
      <c r="A30" s="48" t="s">
        <v>156</v>
      </c>
      <c r="B30" s="132">
        <v>3454</v>
      </c>
      <c r="C30" s="44">
        <f t="shared" si="7"/>
        <v>-0.15135135135135136</v>
      </c>
      <c r="D30" s="47">
        <f t="shared" si="6"/>
        <v>6.0159607120933156E-2</v>
      </c>
      <c r="E30" s="125">
        <v>2461</v>
      </c>
      <c r="F30" s="134">
        <f t="shared" si="1"/>
        <v>1.1508425811755041E-2</v>
      </c>
      <c r="G30" s="134">
        <f t="shared" si="2"/>
        <v>0.1011185682326623</v>
      </c>
      <c r="H30" s="37">
        <v>3908.6289999999999</v>
      </c>
      <c r="I30" s="37">
        <v>3860.7</v>
      </c>
      <c r="J30" s="37">
        <v>3550.3539999999998</v>
      </c>
      <c r="K30" s="37">
        <v>3890.5859999999998</v>
      </c>
      <c r="L30" s="1">
        <f t="shared" si="3"/>
        <v>6.6255709606105384E-2</v>
      </c>
      <c r="M30" s="80">
        <f t="shared" si="4"/>
        <v>7.4921520445022205E-2</v>
      </c>
      <c r="N30" s="80">
        <f t="shared" si="5"/>
        <v>5.6972899237656138E-2</v>
      </c>
      <c r="O30" s="81"/>
      <c r="Q30">
        <v>11.8</v>
      </c>
    </row>
    <row r="31" spans="1:17" x14ac:dyDescent="0.35">
      <c r="A31" s="48" t="s">
        <v>157</v>
      </c>
      <c r="B31" s="132">
        <v>4350</v>
      </c>
      <c r="C31" s="44">
        <f t="shared" si="7"/>
        <v>0.25940938042848871</v>
      </c>
      <c r="D31" s="47">
        <f t="shared" si="6"/>
        <v>7.6199901039089468E-2</v>
      </c>
      <c r="E31" s="125">
        <v>2568</v>
      </c>
      <c r="F31" s="134">
        <f t="shared" si="1"/>
        <v>4.3478260869565188E-2</v>
      </c>
      <c r="G31" s="134">
        <f t="shared" si="2"/>
        <v>0.10261914984972087</v>
      </c>
      <c r="H31" s="37">
        <v>4254.7879999999996</v>
      </c>
      <c r="I31" s="37">
        <v>3914.2860000000001</v>
      </c>
      <c r="J31" s="37">
        <v>3660.1990000000001</v>
      </c>
      <c r="K31" s="37">
        <v>4211.6670000000004</v>
      </c>
      <c r="L31" s="1">
        <f t="shared" si="3"/>
        <v>8.035033025327154E-2</v>
      </c>
      <c r="M31" s="80">
        <f t="shared" si="4"/>
        <v>8.3719582626900158E-2</v>
      </c>
      <c r="N31" s="80">
        <f t="shared" si="5"/>
        <v>1.5044864762331578E-2</v>
      </c>
      <c r="O31" s="81"/>
      <c r="Q31">
        <v>7.7</v>
      </c>
    </row>
    <row r="32" spans="1:17" x14ac:dyDescent="0.35">
      <c r="A32" s="48" t="s">
        <v>158</v>
      </c>
      <c r="B32" s="132">
        <v>4074</v>
      </c>
      <c r="C32" s="44">
        <f t="shared" si="7"/>
        <v>-6.3448275862068915E-2</v>
      </c>
      <c r="D32" s="47">
        <f t="shared" ref="D32:D38" si="8">B32/B28-1</f>
        <v>9.9001888319395714E-2</v>
      </c>
      <c r="E32" s="125">
        <v>2510</v>
      </c>
      <c r="F32" s="134">
        <f t="shared" si="1"/>
        <v>-2.2585669781931439E-2</v>
      </c>
      <c r="G32" s="134">
        <f t="shared" si="2"/>
        <v>7.8642028362698735E-2</v>
      </c>
      <c r="H32" s="37">
        <v>4245.6549999999997</v>
      </c>
      <c r="I32" s="37">
        <v>4120.9790000000003</v>
      </c>
      <c r="J32" s="37">
        <v>3867.5650000000001</v>
      </c>
      <c r="K32" s="37">
        <v>4223.1279999999997</v>
      </c>
      <c r="L32" s="1">
        <f t="shared" si="3"/>
        <v>8.1604052854637565E-2</v>
      </c>
      <c r="M32" s="80">
        <f t="shared" si="4"/>
        <v>8.7411539447921571E-2</v>
      </c>
      <c r="N32" s="80">
        <f t="shared" si="5"/>
        <v>0.11600677412662219</v>
      </c>
      <c r="O32" s="81"/>
    </row>
    <row r="33" spans="1:80" x14ac:dyDescent="0.35">
      <c r="A33" s="48" t="s">
        <v>159</v>
      </c>
      <c r="B33" s="132">
        <v>4541</v>
      </c>
      <c r="C33" s="44">
        <f t="shared" si="7"/>
        <v>0.11462935689739817</v>
      </c>
      <c r="D33" s="47">
        <f t="shared" si="8"/>
        <v>0.11572481572481563</v>
      </c>
      <c r="E33" s="125">
        <v>2615</v>
      </c>
      <c r="F33" s="134">
        <f t="shared" si="1"/>
        <v>4.1832669322709126E-2</v>
      </c>
      <c r="G33" s="134">
        <f t="shared" si="2"/>
        <v>7.4804767776407655E-2</v>
      </c>
      <c r="H33" s="37">
        <v>4416.3620000000001</v>
      </c>
      <c r="I33" s="37">
        <v>4290.7650000000003</v>
      </c>
      <c r="J33" s="37">
        <v>4174.5150000000003</v>
      </c>
      <c r="K33" s="37">
        <v>4379.018</v>
      </c>
      <c r="L33" s="1">
        <f t="shared" si="3"/>
        <v>8.7007364018919731E-2</v>
      </c>
      <c r="M33" s="80">
        <f t="shared" si="4"/>
        <v>9.208871145533748E-2</v>
      </c>
      <c r="N33" s="80">
        <f t="shared" si="5"/>
        <v>0.16051236388110435</v>
      </c>
      <c r="O33" s="81"/>
    </row>
    <row r="34" spans="1:80" x14ac:dyDescent="0.35">
      <c r="A34" s="48" t="s">
        <v>160</v>
      </c>
      <c r="B34" s="132">
        <v>3852</v>
      </c>
      <c r="C34" s="44">
        <f t="shared" si="7"/>
        <v>-0.15172869412023782</v>
      </c>
      <c r="D34" s="51">
        <f t="shared" si="8"/>
        <v>0.11522872032426168</v>
      </c>
      <c r="E34" s="125">
        <v>2708</v>
      </c>
      <c r="F34" s="134">
        <f t="shared" si="1"/>
        <v>3.5564053537284979E-2</v>
      </c>
      <c r="G34" s="134">
        <f t="shared" si="2"/>
        <v>0.10036570499796826</v>
      </c>
      <c r="H34" s="37">
        <v>4294.0870000000004</v>
      </c>
      <c r="I34" s="37">
        <v>4395.45</v>
      </c>
      <c r="J34" s="37">
        <v>4301.6080000000002</v>
      </c>
      <c r="K34" s="37">
        <v>4276.6540000000005</v>
      </c>
      <c r="L34" s="1">
        <f t="shared" si="3"/>
        <v>9.8617187765838166E-2</v>
      </c>
      <c r="M34" s="80">
        <f t="shared" si="4"/>
        <v>9.92313240216256E-2</v>
      </c>
      <c r="N34" s="80">
        <f t="shared" si="5"/>
        <v>0.21159974470151433</v>
      </c>
      <c r="O34" s="81"/>
      <c r="Q34" s="127">
        <f>AVERAGE(Q28:Q31)</f>
        <v>8.4500000000000011</v>
      </c>
    </row>
    <row r="35" spans="1:80" x14ac:dyDescent="0.35">
      <c r="A35" s="48" t="s">
        <v>161</v>
      </c>
      <c r="B35" s="132">
        <v>4644</v>
      </c>
      <c r="C35" s="44">
        <f t="shared" si="7"/>
        <v>0.20560747663551404</v>
      </c>
      <c r="D35" s="47">
        <f t="shared" si="8"/>
        <v>6.7586206896551815E-2</v>
      </c>
      <c r="E35" s="125">
        <v>2755</v>
      </c>
      <c r="F35" s="134">
        <f t="shared" si="1"/>
        <v>1.7355982274741555E-2</v>
      </c>
      <c r="G35" s="134">
        <f t="shared" si="2"/>
        <v>7.2819314641744626E-2</v>
      </c>
      <c r="H35" s="37">
        <v>4645.6840000000002</v>
      </c>
      <c r="I35" s="37">
        <v>4486.8999999999996</v>
      </c>
      <c r="J35" s="37">
        <v>4642.67</v>
      </c>
      <c r="K35" s="37">
        <v>4596.0370000000003</v>
      </c>
      <c r="L35" s="1">
        <f t="shared" si="3"/>
        <v>9.1872027466468609E-2</v>
      </c>
      <c r="M35" s="80">
        <f t="shared" si="4"/>
        <v>9.126315067169366E-2</v>
      </c>
      <c r="N35" s="80">
        <f t="shared" si="5"/>
        <v>0.26842010502707647</v>
      </c>
      <c r="O35" s="81"/>
    </row>
    <row r="36" spans="1:80" x14ac:dyDescent="0.35">
      <c r="A36" s="48" t="s">
        <v>162</v>
      </c>
      <c r="B36" s="132">
        <v>4386</v>
      </c>
      <c r="C36" s="44">
        <f t="shared" si="7"/>
        <v>-5.555555555555558E-2</v>
      </c>
      <c r="D36" s="47">
        <f t="shared" si="8"/>
        <v>7.658321060382911E-2</v>
      </c>
      <c r="E36" s="125">
        <v>2740</v>
      </c>
      <c r="F36" s="134">
        <f t="shared" si="1"/>
        <v>-5.4446460980036582E-3</v>
      </c>
      <c r="G36" s="134">
        <f t="shared" si="2"/>
        <v>9.1633466135458086E-2</v>
      </c>
      <c r="H36" s="37">
        <v>4615.7939999999999</v>
      </c>
      <c r="I36" s="37">
        <v>4610.3180000000002</v>
      </c>
      <c r="J36" s="37">
        <v>4570.1729999999998</v>
      </c>
      <c r="K36" s="37">
        <v>4583.4709999999995</v>
      </c>
      <c r="L36" s="1">
        <f t="shared" si="3"/>
        <v>8.7180658814717704E-2</v>
      </c>
      <c r="M36" s="80">
        <f t="shared" si="4"/>
        <v>8.5326090045104053E-2</v>
      </c>
      <c r="N36" s="80">
        <f t="shared" si="5"/>
        <v>0.18166675931755494</v>
      </c>
      <c r="O36" s="81"/>
    </row>
    <row r="37" spans="1:80" s="89" customFormat="1" x14ac:dyDescent="0.35">
      <c r="A37" s="82" t="s">
        <v>163</v>
      </c>
      <c r="B37" s="132">
        <v>4659</v>
      </c>
      <c r="C37" s="84">
        <f t="shared" si="7"/>
        <v>6.224350205198359E-2</v>
      </c>
      <c r="D37" s="85">
        <f t="shared" si="8"/>
        <v>2.5985465756441339E-2</v>
      </c>
      <c r="E37" s="125">
        <v>2780</v>
      </c>
      <c r="F37" s="134">
        <f t="shared" si="1"/>
        <v>1.4598540145985384E-2</v>
      </c>
      <c r="G37" s="134">
        <f t="shared" si="2"/>
        <v>6.3097514340344274E-2</v>
      </c>
      <c r="H37" s="86">
        <v>4768.0150000000003</v>
      </c>
      <c r="I37" s="86">
        <v>4713.8</v>
      </c>
      <c r="J37" s="86">
        <v>4828.7479999999996</v>
      </c>
      <c r="K37" s="86">
        <v>4681.9040000000005</v>
      </c>
      <c r="L37" s="87">
        <f t="shared" si="3"/>
        <v>7.9625039795198083E-2</v>
      </c>
      <c r="M37" s="88">
        <f t="shared" si="4"/>
        <v>6.9167562225138202E-2</v>
      </c>
      <c r="N37" s="88">
        <f t="shared" si="5"/>
        <v>0.15672072085020639</v>
      </c>
      <c r="O37" s="8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spans="1:80" s="89" customFormat="1" x14ac:dyDescent="0.35">
      <c r="A38" s="82" t="s">
        <v>164</v>
      </c>
      <c r="B38" s="132">
        <v>4261</v>
      </c>
      <c r="C38" s="84">
        <f t="shared" si="7"/>
        <v>-8.5426057093796914E-2</v>
      </c>
      <c r="D38" s="85">
        <f t="shared" si="8"/>
        <v>0.10617860851505712</v>
      </c>
      <c r="E38" s="125">
        <v>2910</v>
      </c>
      <c r="F38" s="134">
        <f t="shared" si="1"/>
        <v>4.6762589928057485E-2</v>
      </c>
      <c r="G38" s="134">
        <f t="shared" si="2"/>
        <v>7.4593796159527326E-2</v>
      </c>
      <c r="H38" s="86">
        <v>4654.0749999999998</v>
      </c>
      <c r="I38" s="86">
        <v>4896.7650000000003</v>
      </c>
      <c r="J38" s="86">
        <v>5042.7380000000003</v>
      </c>
      <c r="K38" s="86">
        <v>4613.7759999999998</v>
      </c>
      <c r="L38" s="87">
        <f>H38/H34-1</f>
        <v>8.3833420235779776E-2</v>
      </c>
      <c r="M38" s="88">
        <f t="shared" si="4"/>
        <v>7.8828448595560818E-2</v>
      </c>
      <c r="N38" s="88">
        <f t="shared" si="5"/>
        <v>0.17229138498905527</v>
      </c>
      <c r="O38" s="81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s="89" customFormat="1" ht="15" thickBot="1" x14ac:dyDescent="0.4">
      <c r="A39" s="90" t="s">
        <v>165</v>
      </c>
      <c r="B39" s="132">
        <v>5270</v>
      </c>
      <c r="C39" s="92">
        <f t="shared" si="7"/>
        <v>0.23679887350387241</v>
      </c>
      <c r="D39" s="93">
        <f>B39/B35-1</f>
        <v>0.13479758828596045</v>
      </c>
      <c r="E39" s="125">
        <v>3031</v>
      </c>
      <c r="F39" s="134">
        <f t="shared" si="1"/>
        <v>4.1580756013745779E-2</v>
      </c>
      <c r="G39" s="134">
        <f t="shared" si="2"/>
        <v>0.10018148820326678</v>
      </c>
      <c r="H39" s="86">
        <v>5024.6080000000002</v>
      </c>
      <c r="I39" s="86">
        <v>4981.7610000000004</v>
      </c>
      <c r="J39" s="86">
        <v>5439.741</v>
      </c>
      <c r="K39" s="86">
        <v>4964.3440000000001</v>
      </c>
      <c r="L39" s="87">
        <f t="shared" ref="L39:L40" si="9">H39/H35-1</f>
        <v>8.1564738367913003E-2</v>
      </c>
      <c r="M39" s="88">
        <f t="shared" si="4"/>
        <v>8.0135777845130374E-2</v>
      </c>
      <c r="N39" s="88">
        <f t="shared" si="5"/>
        <v>0.17168375094503796</v>
      </c>
      <c r="O39" s="81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 s="99" customFormat="1" x14ac:dyDescent="0.35">
      <c r="A40" s="94" t="s">
        <v>167</v>
      </c>
      <c r="B40" s="132">
        <v>4741</v>
      </c>
      <c r="C40" s="96">
        <f t="shared" ref="C40:C49" si="10">B40/B39-1</f>
        <v>-0.10037950664136619</v>
      </c>
      <c r="D40" s="97">
        <f t="shared" ref="D40:D49" si="11">B40/B36-1</f>
        <v>8.0939352485180027E-2</v>
      </c>
      <c r="E40" s="125">
        <v>3007</v>
      </c>
      <c r="F40" s="134">
        <f t="shared" si="1"/>
        <v>-7.9181788188716906E-3</v>
      </c>
      <c r="G40" s="134">
        <f t="shared" si="2"/>
        <v>9.7445255474452486E-2</v>
      </c>
      <c r="H40" s="86">
        <v>4965.2120000000004</v>
      </c>
      <c r="I40" s="95">
        <v>4929.8419999999996</v>
      </c>
      <c r="J40" s="95">
        <v>4862.3999999999996</v>
      </c>
      <c r="K40" s="95">
        <v>4910.2359999999999</v>
      </c>
      <c r="L40" s="97">
        <f t="shared" si="9"/>
        <v>7.570051869732497E-2</v>
      </c>
      <c r="M40" s="98">
        <f>K40/K36-1</f>
        <v>7.1292040464530082E-2</v>
      </c>
      <c r="N40" s="98">
        <f t="shared" si="5"/>
        <v>6.3942218379916982E-2</v>
      </c>
      <c r="O40" s="81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spans="1:80" s="89" customFormat="1" x14ac:dyDescent="0.35">
      <c r="A41" s="100" t="s">
        <v>170</v>
      </c>
      <c r="B41" s="132">
        <v>5137</v>
      </c>
      <c r="C41" s="102">
        <f t="shared" si="10"/>
        <v>8.3526682134570818E-2</v>
      </c>
      <c r="D41" s="103">
        <f t="shared" si="11"/>
        <v>0.10259712384631903</v>
      </c>
      <c r="E41" s="125">
        <v>3052</v>
      </c>
      <c r="F41" s="134">
        <f t="shared" si="1"/>
        <v>1.4965081476554731E-2</v>
      </c>
      <c r="G41" s="134">
        <f t="shared" si="2"/>
        <v>9.7841726618705049E-2</v>
      </c>
      <c r="H41" s="101">
        <v>5138.57</v>
      </c>
      <c r="I41" s="101">
        <v>5069.4399999999996</v>
      </c>
      <c r="J41" s="101">
        <v>5161.5320000000002</v>
      </c>
      <c r="K41" s="101">
        <v>5049.0439999999999</v>
      </c>
      <c r="L41" s="103">
        <f t="shared" ref="L41:L47" si="12">H41/H37-1</f>
        <v>7.7716827652597464E-2</v>
      </c>
      <c r="M41" s="103">
        <f t="shared" ref="M41:M49" si="13">K41/B37-1</f>
        <v>8.3718394505258642E-2</v>
      </c>
      <c r="N41" s="103">
        <f t="shared" ref="N41:N49" si="14">J41/B37-1</f>
        <v>0.10786263146597985</v>
      </c>
      <c r="O41" s="8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spans="1:80" s="89" customFormat="1" x14ac:dyDescent="0.35">
      <c r="A42" s="100" t="s">
        <v>191</v>
      </c>
      <c r="B42" s="132">
        <v>4550</v>
      </c>
      <c r="C42" s="102">
        <f t="shared" si="10"/>
        <v>-0.1142690286159237</v>
      </c>
      <c r="D42" s="103">
        <f t="shared" si="11"/>
        <v>6.7824454353438091E-2</v>
      </c>
      <c r="E42" s="125">
        <v>3146</v>
      </c>
      <c r="F42" s="134">
        <f t="shared" si="1"/>
        <v>3.0799475753604089E-2</v>
      </c>
      <c r="G42" s="134">
        <f t="shared" si="2"/>
        <v>8.109965635738825E-2</v>
      </c>
      <c r="H42" s="101">
        <v>4956.6120000000001</v>
      </c>
      <c r="I42" s="101">
        <v>5163.3590000000004</v>
      </c>
      <c r="J42" s="101">
        <v>5213.1229999999996</v>
      </c>
      <c r="K42" s="101">
        <v>4912.7479999999996</v>
      </c>
      <c r="L42" s="103">
        <f t="shared" si="12"/>
        <v>6.5004753898465273E-2</v>
      </c>
      <c r="M42" s="103">
        <f t="shared" si="13"/>
        <v>0.15295658296174608</v>
      </c>
      <c r="N42" s="103">
        <f t="shared" si="14"/>
        <v>0.22345059845106774</v>
      </c>
      <c r="O42" s="81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spans="1:80" x14ac:dyDescent="0.35">
      <c r="A43" s="100" t="s">
        <v>239</v>
      </c>
      <c r="B43" s="132">
        <v>5489</v>
      </c>
      <c r="C43" s="102">
        <f t="shared" si="10"/>
        <v>0.20637362637362644</v>
      </c>
      <c r="D43" s="103">
        <f>B43/B39-1</f>
        <v>4.1555977229601471E-2</v>
      </c>
      <c r="E43" s="125">
        <v>3274</v>
      </c>
      <c r="F43" s="134">
        <f t="shared" si="1"/>
        <v>4.0686586141131631E-2</v>
      </c>
      <c r="G43" s="134">
        <f t="shared" si="2"/>
        <v>8.0171560541075548E-2</v>
      </c>
      <c r="H43" s="101">
        <v>5395.7690000000002</v>
      </c>
      <c r="I43" s="101">
        <v>5312.4650000000001</v>
      </c>
      <c r="J43" s="101">
        <v>5754.4849999999997</v>
      </c>
      <c r="K43" s="101">
        <v>5336.375</v>
      </c>
      <c r="L43" s="103">
        <f t="shared" si="12"/>
        <v>7.386864806169946E-2</v>
      </c>
      <c r="M43" s="103">
        <f t="shared" si="13"/>
        <v>1.2594876660341647E-2</v>
      </c>
      <c r="N43" s="103">
        <f t="shared" si="14"/>
        <v>9.1932637571157327E-2</v>
      </c>
      <c r="O43" s="81"/>
    </row>
    <row r="44" spans="1:80" x14ac:dyDescent="0.35">
      <c r="A44" s="100" t="s">
        <v>240</v>
      </c>
      <c r="B44" s="132">
        <v>5051</v>
      </c>
      <c r="C44" s="102">
        <f t="shared" si="10"/>
        <v>-7.9795955547458552E-2</v>
      </c>
      <c r="D44" s="103">
        <f>B44/B40-1</f>
        <v>6.5387049145749776E-2</v>
      </c>
      <c r="E44" s="125">
        <v>3241</v>
      </c>
      <c r="F44" s="134">
        <f t="shared" si="1"/>
        <v>-1.0079413561392747E-2</v>
      </c>
      <c r="G44" s="134">
        <f t="shared" si="2"/>
        <v>7.7818423678084558E-2</v>
      </c>
      <c r="H44" s="101">
        <v>5314.1440000000002</v>
      </c>
      <c r="I44" s="101">
        <v>5370.143</v>
      </c>
      <c r="J44" s="101">
        <v>5483.4080000000004</v>
      </c>
      <c r="K44" s="101">
        <v>5243.7089999999998</v>
      </c>
      <c r="L44" s="103">
        <f t="shared" si="12"/>
        <v>7.0275347759571893E-2</v>
      </c>
      <c r="M44" s="103">
        <f t="shared" si="13"/>
        <v>0.10603438093229278</v>
      </c>
      <c r="N44" s="103">
        <f t="shared" si="14"/>
        <v>0.15659312381354162</v>
      </c>
      <c r="O44" s="81"/>
    </row>
    <row r="45" spans="1:80" x14ac:dyDescent="0.35">
      <c r="A45" s="100" t="s">
        <v>247</v>
      </c>
      <c r="B45" s="132">
        <v>5540</v>
      </c>
      <c r="C45" s="102">
        <f t="shared" si="10"/>
        <v>9.6812512373787296E-2</v>
      </c>
      <c r="D45" s="103">
        <f>B45/B41-1</f>
        <v>7.8450457465446766E-2</v>
      </c>
      <c r="E45" s="125">
        <v>3330.0030000000002</v>
      </c>
      <c r="F45" s="134">
        <f t="shared" si="1"/>
        <v>2.7461585930268484E-2</v>
      </c>
      <c r="G45" s="134">
        <f t="shared" si="2"/>
        <v>9.1088794233289638E-2</v>
      </c>
      <c r="H45" s="101">
        <v>5531.4709999999995</v>
      </c>
      <c r="I45" s="101">
        <v>5501.8950000000004</v>
      </c>
      <c r="J45" s="101">
        <v>5646.5870000000004</v>
      </c>
      <c r="K45" s="101">
        <v>5447.6149999999998</v>
      </c>
      <c r="L45" s="103">
        <f t="shared" si="12"/>
        <v>7.6461155535489489E-2</v>
      </c>
      <c r="M45" s="103">
        <f t="shared" si="13"/>
        <v>6.0466225423398745E-2</v>
      </c>
      <c r="N45" s="103">
        <f t="shared" si="14"/>
        <v>9.9199338135098403E-2</v>
      </c>
    </row>
    <row r="46" spans="1:80" x14ac:dyDescent="0.35">
      <c r="A46" s="100" t="s">
        <v>249</v>
      </c>
      <c r="B46" s="132">
        <v>5089</v>
      </c>
      <c r="C46" s="102">
        <f t="shared" si="10"/>
        <v>-8.1407942238267195E-2</v>
      </c>
      <c r="D46" s="103">
        <f>B46/B42-1</f>
        <v>0.1184615384615384</v>
      </c>
      <c r="E46" s="135">
        <v>3432.5160000000001</v>
      </c>
      <c r="F46" s="134">
        <f t="shared" si="1"/>
        <v>3.0784656950759492E-2</v>
      </c>
      <c r="G46" s="134">
        <f t="shared" si="2"/>
        <v>9.1073108709472272E-2</v>
      </c>
      <c r="H46" s="101">
        <v>5342.3029999999999</v>
      </c>
      <c r="I46" s="101">
        <v>5538.4260000000004</v>
      </c>
      <c r="J46" s="101">
        <v>5538.0460000000003</v>
      </c>
      <c r="K46" s="101">
        <v>5295.8469999999998</v>
      </c>
      <c r="L46" s="103">
        <f t="shared" si="12"/>
        <v>7.7813433853608061E-2</v>
      </c>
      <c r="M46" s="103">
        <f t="shared" si="13"/>
        <v>0.16392241758241743</v>
      </c>
      <c r="N46" s="103">
        <f t="shared" si="14"/>
        <v>0.21715296703296705</v>
      </c>
    </row>
    <row r="47" spans="1:80" x14ac:dyDescent="0.35">
      <c r="A47" s="100" t="s">
        <v>264</v>
      </c>
      <c r="B47" s="132">
        <v>6106</v>
      </c>
      <c r="C47" s="102">
        <f t="shared" si="10"/>
        <v>0.19984279819217932</v>
      </c>
      <c r="D47" s="103">
        <f t="shared" si="11"/>
        <v>0.11240663144470764</v>
      </c>
      <c r="E47" s="135">
        <v>3523.2310000000002</v>
      </c>
      <c r="F47" s="134">
        <f t="shared" si="1"/>
        <v>2.6428136096088073E-2</v>
      </c>
      <c r="G47" s="134">
        <f t="shared" si="2"/>
        <v>7.6124312767257285E-2</v>
      </c>
      <c r="H47" s="101">
        <v>5855.1409999999996</v>
      </c>
      <c r="I47" s="101">
        <v>5722.0169999999998</v>
      </c>
      <c r="J47" s="101">
        <v>6106</v>
      </c>
      <c r="K47" s="101">
        <v>5811.2979999999998</v>
      </c>
      <c r="L47" s="103">
        <f t="shared" si="12"/>
        <v>8.5135594203532339E-2</v>
      </c>
      <c r="M47" s="103">
        <f t="shared" si="13"/>
        <v>5.8717070504645585E-2</v>
      </c>
      <c r="N47" s="103">
        <f t="shared" si="14"/>
        <v>0.11240663144470764</v>
      </c>
    </row>
    <row r="48" spans="1:80" x14ac:dyDescent="0.35">
      <c r="A48" s="100" t="s">
        <v>265</v>
      </c>
      <c r="B48" s="132">
        <f>H48</f>
        <v>5767.5780000000004</v>
      </c>
      <c r="C48" s="102">
        <f t="shared" si="10"/>
        <v>-5.5424500491319972E-2</v>
      </c>
      <c r="D48" s="103">
        <f>B48/B44-1</f>
        <v>0.14186854088299361</v>
      </c>
      <c r="E48" s="135">
        <v>3519.078</v>
      </c>
      <c r="F48" s="134">
        <f t="shared" si="1"/>
        <v>-1.178747575733774E-3</v>
      </c>
      <c r="G48" s="134">
        <f>E48/E44-1</f>
        <v>8.5800061709349063E-2</v>
      </c>
      <c r="H48" s="101">
        <v>5767.5780000000004</v>
      </c>
      <c r="I48" s="101">
        <v>5891.2740000000003</v>
      </c>
      <c r="J48" s="101">
        <v>5973.5280000000002</v>
      </c>
      <c r="K48" s="101">
        <v>5769.2150000000001</v>
      </c>
      <c r="L48" s="103">
        <f>H48/H44-1</f>
        <v>8.5325877507271164E-2</v>
      </c>
      <c r="M48" s="103">
        <f t="shared" si="13"/>
        <v>0.14219263512175817</v>
      </c>
      <c r="N48" s="103">
        <f t="shared" si="14"/>
        <v>0.18264264502078809</v>
      </c>
    </row>
    <row r="49" spans="1:52" x14ac:dyDescent="0.35">
      <c r="A49" s="100" t="s">
        <v>271</v>
      </c>
      <c r="B49" s="132">
        <f>H49</f>
        <v>5994.902</v>
      </c>
      <c r="C49" s="102">
        <f t="shared" si="10"/>
        <v>3.9414118023197942E-2</v>
      </c>
      <c r="D49" s="103">
        <f t="shared" si="11"/>
        <v>8.2112274368230986E-2</v>
      </c>
      <c r="E49" s="135">
        <v>3573.3780000000002</v>
      </c>
      <c r="F49" s="134">
        <f t="shared" si="1"/>
        <v>1.5430178018219554E-2</v>
      </c>
      <c r="G49" s="134">
        <f t="shared" si="2"/>
        <v>7.3085519742775107E-2</v>
      </c>
      <c r="H49" s="101">
        <v>5994.902</v>
      </c>
      <c r="I49" s="101">
        <v>5966.0349999999999</v>
      </c>
      <c r="J49" s="101">
        <v>6045.7129999999997</v>
      </c>
      <c r="K49" s="101">
        <v>5947.8069999999998</v>
      </c>
      <c r="L49" s="103">
        <f>H49/H45-1</f>
        <v>8.3780788148396734E-2</v>
      </c>
      <c r="M49" s="103">
        <f t="shared" si="13"/>
        <v>7.3611371841155293E-2</v>
      </c>
      <c r="N49" s="103">
        <f t="shared" si="14"/>
        <v>9.1283935018050544E-2</v>
      </c>
    </row>
    <row r="50" spans="1:52" ht="15.75" customHeight="1" x14ac:dyDescent="0.35">
      <c r="A50" s="5" t="s">
        <v>266</v>
      </c>
      <c r="B50" s="5"/>
      <c r="C50" s="5"/>
      <c r="D50" s="8"/>
      <c r="E50" s="8"/>
      <c r="F50" s="134"/>
      <c r="G50" s="134"/>
      <c r="H50">
        <v>5982.4719999999998</v>
      </c>
      <c r="L50" s="80"/>
    </row>
    <row r="51" spans="1:52" ht="28.5" customHeight="1" x14ac:dyDescent="0.35">
      <c r="A51" s="8"/>
      <c r="B51" s="8" t="s">
        <v>92</v>
      </c>
      <c r="C51" s="8" t="s">
        <v>87</v>
      </c>
      <c r="D51" s="8" t="s">
        <v>88</v>
      </c>
      <c r="E51" s="8"/>
      <c r="F51" s="134"/>
      <c r="G51" s="134"/>
      <c r="H51" s="60" t="s">
        <v>69</v>
      </c>
      <c r="I51" s="60" t="s">
        <v>70</v>
      </c>
      <c r="J51" s="60" t="s">
        <v>52</v>
      </c>
      <c r="K51" s="60" t="s">
        <v>51</v>
      </c>
      <c r="L51" s="60" t="s">
        <v>54</v>
      </c>
      <c r="M51" s="60" t="s">
        <v>71</v>
      </c>
      <c r="N51" s="60" t="s">
        <v>72</v>
      </c>
      <c r="O51" s="60" t="s">
        <v>73</v>
      </c>
      <c r="P51" s="60" t="s">
        <v>132</v>
      </c>
      <c r="Q51" s="60" t="s">
        <v>133</v>
      </c>
      <c r="R51" s="60" t="s">
        <v>55</v>
      </c>
      <c r="S51" s="60" t="s">
        <v>56</v>
      </c>
      <c r="T51" s="130" t="s">
        <v>61</v>
      </c>
      <c r="U51" s="60" t="s">
        <v>127</v>
      </c>
      <c r="V51" s="60" t="s">
        <v>134</v>
      </c>
      <c r="W51" s="60" t="s">
        <v>135</v>
      </c>
      <c r="X51" s="60" t="s">
        <v>57</v>
      </c>
      <c r="Y51" s="60" t="s">
        <v>136</v>
      </c>
      <c r="Z51" s="60" t="s">
        <v>137</v>
      </c>
      <c r="AA51" s="60" t="s">
        <v>138</v>
      </c>
      <c r="AB51" s="60" t="s">
        <v>139</v>
      </c>
      <c r="AC51" s="60" t="s">
        <v>74</v>
      </c>
      <c r="AD51" s="60" t="s">
        <v>58</v>
      </c>
      <c r="AE51" s="60" t="s">
        <v>140</v>
      </c>
      <c r="AF51" s="61" t="s">
        <v>268</v>
      </c>
      <c r="AG51" s="61" t="s">
        <v>269</v>
      </c>
      <c r="AH51" s="61" t="s">
        <v>270</v>
      </c>
      <c r="AI51" s="60" t="s">
        <v>76</v>
      </c>
      <c r="AJ51" s="60" t="s">
        <v>77</v>
      </c>
      <c r="AK51" s="60" t="s">
        <v>78</v>
      </c>
      <c r="AL51" s="60" t="s">
        <v>79</v>
      </c>
      <c r="AM51" s="60" t="s">
        <v>80</v>
      </c>
      <c r="AN51" s="130" t="s">
        <v>81</v>
      </c>
      <c r="AO51" s="130" t="s">
        <v>82</v>
      </c>
      <c r="AP51" s="60" t="s">
        <v>53</v>
      </c>
      <c r="AQ51" s="60" t="s">
        <v>141</v>
      </c>
      <c r="AR51" s="60" t="s">
        <v>142</v>
      </c>
      <c r="AS51" s="60" t="s">
        <v>143</v>
      </c>
      <c r="AT51" s="60" t="s">
        <v>83</v>
      </c>
      <c r="AU51" s="60" t="s">
        <v>144</v>
      </c>
      <c r="AV51" s="60" t="s">
        <v>84</v>
      </c>
      <c r="AW51" s="60" t="s">
        <v>145</v>
      </c>
      <c r="AX51" s="60" t="s">
        <v>146</v>
      </c>
      <c r="AY51" s="60" t="s">
        <v>85</v>
      </c>
      <c r="AZ51" s="60" t="s">
        <v>60</v>
      </c>
    </row>
    <row r="52" spans="1:52" x14ac:dyDescent="0.35">
      <c r="A52" s="29"/>
      <c r="B52" s="101">
        <f>B47</f>
        <v>6106</v>
      </c>
      <c r="C52" s="29">
        <f>J47</f>
        <v>6106</v>
      </c>
      <c r="D52" s="29">
        <f>K47</f>
        <v>5811.2979999999998</v>
      </c>
      <c r="E52" s="29"/>
      <c r="F52" s="134"/>
      <c r="G52" s="134"/>
      <c r="H52" s="34">
        <v>5709.9059999999999</v>
      </c>
      <c r="I52" s="34">
        <v>5790.4480000000003</v>
      </c>
      <c r="J52" s="59">
        <v>5677.259</v>
      </c>
      <c r="K52" s="29">
        <v>3439.7869999999998</v>
      </c>
      <c r="L52" s="29">
        <v>5637.8530000000001</v>
      </c>
      <c r="M52" s="29">
        <v>5628.3</v>
      </c>
      <c r="N52" s="29">
        <v>5658.7659999999996</v>
      </c>
      <c r="O52" s="29">
        <v>5635.1049999999996</v>
      </c>
      <c r="P52" s="29">
        <v>5695.4369999999999</v>
      </c>
      <c r="Q52" s="29">
        <v>5640.99</v>
      </c>
      <c r="R52" s="29">
        <v>5762.7309999999998</v>
      </c>
      <c r="S52" s="29">
        <v>5879.2309999999998</v>
      </c>
      <c r="T52" s="113">
        <v>3354.107</v>
      </c>
      <c r="U52" s="113">
        <v>5694.2790000000005</v>
      </c>
      <c r="V52" s="29">
        <v>5626.8010000000004</v>
      </c>
      <c r="W52" s="29">
        <v>5742.9830000000002</v>
      </c>
      <c r="X52" s="29">
        <v>5789.9290000000001</v>
      </c>
      <c r="Y52" s="29">
        <v>5656.4809999999998</v>
      </c>
      <c r="Z52" s="29">
        <v>5635.0119999999997</v>
      </c>
      <c r="AA52" s="29">
        <v>6020.7659999999996</v>
      </c>
      <c r="AB52" s="29">
        <v>6021.8890000000001</v>
      </c>
      <c r="AC52" s="29">
        <v>5889.4110000000001</v>
      </c>
      <c r="AD52" s="29">
        <v>5895.8609999999999</v>
      </c>
      <c r="AE52" s="29">
        <v>5589.97</v>
      </c>
      <c r="AF52" s="53">
        <v>3630.3470000000002</v>
      </c>
      <c r="AG52" s="53">
        <v>3372.3069999999998</v>
      </c>
      <c r="AH52" s="53">
        <v>3507.42</v>
      </c>
      <c r="AI52" s="29">
        <v>3356.9349999999999</v>
      </c>
      <c r="AJ52" s="29">
        <v>5709.6689999999999</v>
      </c>
      <c r="AK52" s="29">
        <v>5880.3149999999996</v>
      </c>
      <c r="AL52" s="29">
        <v>5707.4539999999997</v>
      </c>
      <c r="AM52" s="29">
        <v>5824.9470000000001</v>
      </c>
      <c r="AN52" s="113">
        <v>3382.0160000000001</v>
      </c>
      <c r="AO52" s="113">
        <v>3053.0630000000001</v>
      </c>
      <c r="AP52" s="29">
        <v>6138.1509999999998</v>
      </c>
      <c r="AQ52" s="29">
        <v>5328.6220000000003</v>
      </c>
      <c r="AR52" s="29">
        <v>5843.7780000000002</v>
      </c>
      <c r="AS52" s="29">
        <v>5397.6180000000004</v>
      </c>
      <c r="AT52" s="29">
        <v>6070.9570000000003</v>
      </c>
      <c r="AU52" s="29">
        <v>6155.3919999999998</v>
      </c>
      <c r="AV52" s="29">
        <v>5664.1980000000003</v>
      </c>
      <c r="AW52" s="29">
        <v>5787.0370000000003</v>
      </c>
      <c r="AX52" s="29">
        <v>5838.2259999999997</v>
      </c>
      <c r="AY52" s="29">
        <v>5722.049</v>
      </c>
      <c r="AZ52" s="29">
        <v>5647.7079999999996</v>
      </c>
    </row>
    <row r="53" spans="1:52" x14ac:dyDescent="0.35">
      <c r="T53" s="14"/>
      <c r="U53" s="14"/>
    </row>
    <row r="54" spans="1:52" x14ac:dyDescent="0.35">
      <c r="A54" s="7"/>
      <c r="B54" s="7">
        <f>D47</f>
        <v>0.11240663144470764</v>
      </c>
      <c r="C54" s="7">
        <f>N47</f>
        <v>0.11240663144470764</v>
      </c>
      <c r="D54" s="7">
        <f>M47</f>
        <v>5.8717070504645585E-2</v>
      </c>
      <c r="E54" s="7"/>
      <c r="F54" s="7"/>
      <c r="G54" s="7"/>
      <c r="H54" s="1">
        <f>H52/$B$44-1</f>
        <v>0.13045060384082352</v>
      </c>
      <c r="I54" s="1">
        <f>I52/$B$44-1</f>
        <v>0.14639635715699861</v>
      </c>
      <c r="J54" s="1">
        <f t="shared" ref="J54:AZ54" si="15">J52/$B$44-1</f>
        <v>0.12398713126113647</v>
      </c>
      <c r="K54" s="1">
        <f t="shared" si="15"/>
        <v>-0.31898891308651756</v>
      </c>
      <c r="L54" s="1">
        <f t="shared" si="15"/>
        <v>0.11618550782023362</v>
      </c>
      <c r="M54" s="1">
        <f t="shared" si="15"/>
        <v>0.1142941991684816</v>
      </c>
      <c r="N54" s="1">
        <f t="shared" si="15"/>
        <v>0.12032587606414569</v>
      </c>
      <c r="O54" s="1">
        <f t="shared" si="15"/>
        <v>0.11564145713720042</v>
      </c>
      <c r="P54" s="1">
        <f t="shared" si="15"/>
        <v>0.12758602256978824</v>
      </c>
      <c r="Q54" s="1">
        <f t="shared" si="15"/>
        <v>0.11680657295585029</v>
      </c>
      <c r="R54" s="1">
        <f t="shared" si="15"/>
        <v>0.1409089289249652</v>
      </c>
      <c r="S54" s="1">
        <f t="shared" si="15"/>
        <v>0.16397366858047913</v>
      </c>
      <c r="T54" s="1">
        <f t="shared" si="15"/>
        <v>-0.33595189071470999</v>
      </c>
      <c r="U54" s="1">
        <f t="shared" si="15"/>
        <v>0.12735676103741844</v>
      </c>
      <c r="V54" s="1">
        <f t="shared" si="15"/>
        <v>0.11399742625222742</v>
      </c>
      <c r="W54" s="1">
        <f t="shared" si="15"/>
        <v>0.13699920807760835</v>
      </c>
      <c r="X54" s="1">
        <f t="shared" si="15"/>
        <v>0.14629360522668788</v>
      </c>
      <c r="Y54" s="1">
        <f t="shared" si="15"/>
        <v>0.11987349039794104</v>
      </c>
      <c r="Z54" s="1">
        <f t="shared" si="15"/>
        <v>0.11562304494159559</v>
      </c>
      <c r="AA54" s="1">
        <f t="shared" si="15"/>
        <v>0.19199485250445458</v>
      </c>
      <c r="AB54" s="1">
        <f t="shared" si="15"/>
        <v>0.19221718471589777</v>
      </c>
      <c r="AC54" s="1">
        <f t="shared" si="15"/>
        <v>0.16598911106711545</v>
      </c>
      <c r="AD54" s="1">
        <f t="shared" si="15"/>
        <v>0.1672660859235795</v>
      </c>
      <c r="AE54" s="1">
        <f t="shared" si="15"/>
        <v>0.10670560285092057</v>
      </c>
      <c r="AF54" s="1">
        <f t="shared" si="15"/>
        <v>-0.28126173035042557</v>
      </c>
      <c r="AG54" s="1">
        <f t="shared" si="15"/>
        <v>-0.33234864383290441</v>
      </c>
      <c r="AH54" s="1">
        <f t="shared" si="15"/>
        <v>-0.3055988913086517</v>
      </c>
      <c r="AI54" s="1">
        <f t="shared" si="15"/>
        <v>-0.33539200158384475</v>
      </c>
      <c r="AJ54" s="1">
        <f t="shared" si="15"/>
        <v>0.13040368243912104</v>
      </c>
      <c r="AK54" s="1">
        <f t="shared" si="15"/>
        <v>0.16418827954860427</v>
      </c>
      <c r="AL54" s="1">
        <f t="shared" si="15"/>
        <v>0.12996515541476938</v>
      </c>
      <c r="AM54" s="1">
        <f t="shared" si="15"/>
        <v>0.15322648980399922</v>
      </c>
      <c r="AN54" s="1">
        <f t="shared" si="15"/>
        <v>-0.33042645020787964</v>
      </c>
      <c r="AO54" s="1">
        <f t="shared" si="15"/>
        <v>-0.39555276182934074</v>
      </c>
      <c r="AP54" s="1">
        <f t="shared" si="15"/>
        <v>0.21523480498911107</v>
      </c>
      <c r="AQ54" s="1">
        <f t="shared" si="15"/>
        <v>5.4963769550584018E-2</v>
      </c>
      <c r="AR54" s="1">
        <f t="shared" si="15"/>
        <v>0.15695466244308065</v>
      </c>
      <c r="AS54" s="1">
        <f t="shared" si="15"/>
        <v>6.8623638883389404E-2</v>
      </c>
      <c r="AT54" s="1">
        <f t="shared" si="15"/>
        <v>0.20193169669372413</v>
      </c>
      <c r="AU54" s="1">
        <f t="shared" si="15"/>
        <v>0.21864818847752909</v>
      </c>
      <c r="AV54" s="1">
        <f t="shared" si="15"/>
        <v>0.12140130667194615</v>
      </c>
      <c r="AW54" s="1">
        <f t="shared" si="15"/>
        <v>0.14572104533755703</v>
      </c>
      <c r="AX54" s="1">
        <f t="shared" si="15"/>
        <v>0.15585547416353185</v>
      </c>
      <c r="AY54" s="1">
        <f t="shared" si="15"/>
        <v>0.13285468224114028</v>
      </c>
      <c r="AZ54" s="1">
        <f t="shared" si="15"/>
        <v>0.11813660661255199</v>
      </c>
    </row>
    <row r="55" spans="1:52" x14ac:dyDescent="0.35">
      <c r="C55" s="10"/>
    </row>
    <row r="56" spans="1:52" x14ac:dyDescent="0.35">
      <c r="A56" t="s">
        <v>169</v>
      </c>
      <c r="B56" s="36">
        <v>144</v>
      </c>
      <c r="C56" s="35"/>
      <c r="D56" s="35"/>
      <c r="E56" s="35"/>
      <c r="F56" s="35"/>
      <c r="G56" s="35"/>
    </row>
    <row r="57" spans="1:52" x14ac:dyDescent="0.35">
      <c r="A57" t="s">
        <v>168</v>
      </c>
      <c r="B57" s="29">
        <f>B56*B52/100</f>
        <v>8792.64</v>
      </c>
      <c r="C57" s="29"/>
    </row>
    <row r="58" spans="1:52" x14ac:dyDescent="0.35">
      <c r="B58" s="29"/>
      <c r="C58" s="29"/>
      <c r="D58" s="29"/>
      <c r="E58" s="29"/>
      <c r="F58" s="29"/>
      <c r="G58" s="29"/>
    </row>
    <row r="59" spans="1:52" x14ac:dyDescent="0.35">
      <c r="B59" s="29"/>
      <c r="D59" s="29"/>
      <c r="E59" s="29"/>
      <c r="F59" s="29"/>
      <c r="G59" s="29"/>
      <c r="H59" s="2" t="s">
        <v>179</v>
      </c>
      <c r="I59" s="6">
        <f>AVERAGE(H54:AZ54)</f>
        <v>5.6299131085153657E-2</v>
      </c>
      <c r="J59" s="4"/>
      <c r="K59" s="14"/>
    </row>
    <row r="60" spans="1:52" x14ac:dyDescent="0.35">
      <c r="H60" t="s">
        <v>180</v>
      </c>
      <c r="I60" s="2">
        <f>MEDIAN(H54:AZ54)</f>
        <v>0.12735676103741844</v>
      </c>
    </row>
    <row r="62" spans="1:52" x14ac:dyDescent="0.35">
      <c r="D62" t="s">
        <v>131</v>
      </c>
      <c r="H62" s="3">
        <f>AVERAGE(H52:AZ52)</f>
        <v>5335.3669111111121</v>
      </c>
      <c r="K62" s="12"/>
      <c r="T62">
        <v>3065.9760000000001</v>
      </c>
    </row>
    <row r="63" spans="1:52" x14ac:dyDescent="0.35">
      <c r="K63" s="13"/>
      <c r="T63">
        <v>3118.6819999999998</v>
      </c>
    </row>
    <row r="64" spans="1:52" x14ac:dyDescent="0.35">
      <c r="H64" t="s">
        <v>62</v>
      </c>
      <c r="I64" s="2">
        <f>MAX(H54:AZ54)</f>
        <v>0.21864818847752909</v>
      </c>
    </row>
    <row r="65" spans="8:11" x14ac:dyDescent="0.35">
      <c r="H65" t="s">
        <v>63</v>
      </c>
      <c r="I65" s="2">
        <f>MIN(H54:AZ54)</f>
        <v>-0.39555276182934074</v>
      </c>
    </row>
    <row r="73" spans="8:11" x14ac:dyDescent="0.35">
      <c r="I73" s="136" t="s">
        <v>248</v>
      </c>
      <c r="J73" s="30" t="s">
        <v>93</v>
      </c>
      <c r="K73" s="30" t="s">
        <v>94</v>
      </c>
    </row>
    <row r="74" spans="8:11" x14ac:dyDescent="0.35">
      <c r="I74" s="136"/>
      <c r="J74" s="31"/>
      <c r="K74" s="31"/>
    </row>
    <row r="75" spans="8:11" x14ac:dyDescent="0.35">
      <c r="I75" s="136"/>
      <c r="J75" s="33">
        <v>3233.1353543606315</v>
      </c>
      <c r="K75" s="33">
        <v>3390.2502149866468</v>
      </c>
    </row>
    <row r="76" spans="8:11" x14ac:dyDescent="0.35">
      <c r="I76" s="136"/>
      <c r="J76" s="114">
        <v>5.9002736443049875E-2</v>
      </c>
      <c r="K76" s="114">
        <v>0.11046518669723127</v>
      </c>
    </row>
    <row r="77" spans="8:11" x14ac:dyDescent="0.35">
      <c r="I77" s="136"/>
      <c r="J77" s="31"/>
      <c r="K77" s="31"/>
    </row>
    <row r="81" spans="2:22" x14ac:dyDescent="0.35">
      <c r="M81">
        <f>6.5+7.8+11.8+7.5</f>
        <v>33.6</v>
      </c>
    </row>
    <row r="82" spans="2:22" x14ac:dyDescent="0.35">
      <c r="K82" t="s">
        <v>93</v>
      </c>
      <c r="L82" t="s">
        <v>94</v>
      </c>
      <c r="M82">
        <f>M81/4</f>
        <v>8.4</v>
      </c>
    </row>
    <row r="84" spans="2:22" x14ac:dyDescent="0.35">
      <c r="J84" t="s">
        <v>247</v>
      </c>
      <c r="K84">
        <v>3233.1353543606315</v>
      </c>
      <c r="L84">
        <v>3390.2502149866468</v>
      </c>
      <c r="V84" s="16"/>
    </row>
    <row r="85" spans="2:22" x14ac:dyDescent="0.35">
      <c r="K85" s="1">
        <v>5.9002736443049875E-2</v>
      </c>
      <c r="L85" s="1">
        <v>0.11046518669723127</v>
      </c>
      <c r="V85" s="2"/>
    </row>
    <row r="86" spans="2:22" x14ac:dyDescent="0.35">
      <c r="V86" s="16"/>
    </row>
    <row r="87" spans="2:22" x14ac:dyDescent="0.35">
      <c r="V87" s="2"/>
    </row>
    <row r="88" spans="2:22" x14ac:dyDescent="0.35">
      <c r="V88" s="16"/>
    </row>
    <row r="89" spans="2:22" x14ac:dyDescent="0.35">
      <c r="V89" s="2"/>
    </row>
    <row r="90" spans="2:22" x14ac:dyDescent="0.35">
      <c r="B90" s="8" t="s">
        <v>86</v>
      </c>
      <c r="H90" s="26">
        <f>B52</f>
        <v>6106</v>
      </c>
      <c r="J90" s="7">
        <f>B54</f>
        <v>0.11240663144470764</v>
      </c>
      <c r="L90" t="s">
        <v>166</v>
      </c>
      <c r="V90" s="16"/>
    </row>
    <row r="91" spans="2:22" x14ac:dyDescent="0.35">
      <c r="H91" s="15"/>
      <c r="J91" s="2"/>
    </row>
    <row r="92" spans="2:22" x14ac:dyDescent="0.35">
      <c r="B92" s="8" t="s">
        <v>87</v>
      </c>
      <c r="H92" s="26">
        <f>C52</f>
        <v>6106</v>
      </c>
      <c r="J92" s="7">
        <f>C54</f>
        <v>0.11240663144470764</v>
      </c>
      <c r="L92" t="s">
        <v>166</v>
      </c>
    </row>
    <row r="93" spans="2:22" x14ac:dyDescent="0.35">
      <c r="H93" s="15"/>
      <c r="J93" s="2"/>
    </row>
    <row r="94" spans="2:22" x14ac:dyDescent="0.35">
      <c r="B94" s="8" t="s">
        <v>88</v>
      </c>
      <c r="H94" s="26">
        <f>D52</f>
        <v>5811.2979999999998</v>
      </c>
      <c r="J94" s="7">
        <f>D54</f>
        <v>5.8717070504645585E-2</v>
      </c>
      <c r="L94" t="s">
        <v>176</v>
      </c>
    </row>
    <row r="95" spans="2:22" x14ac:dyDescent="0.35">
      <c r="H95" s="15"/>
      <c r="J95" s="2"/>
    </row>
    <row r="96" spans="2:22" x14ac:dyDescent="0.35">
      <c r="B96" s="8"/>
      <c r="H96" s="27"/>
      <c r="J96" s="16"/>
    </row>
    <row r="100" spans="1:52" x14ac:dyDescent="0.35">
      <c r="A100" s="5" t="s">
        <v>267</v>
      </c>
      <c r="B100" s="5"/>
      <c r="C100" s="5"/>
      <c r="D100" s="5"/>
      <c r="E100" s="5"/>
      <c r="F100" s="5"/>
      <c r="G100" s="5"/>
    </row>
    <row r="102" spans="1:52" x14ac:dyDescent="0.35">
      <c r="H102" s="23"/>
      <c r="I102" s="23"/>
      <c r="J102" s="23"/>
      <c r="K102" s="23"/>
      <c r="L102" s="24"/>
      <c r="M102" s="23"/>
      <c r="N102" s="24"/>
      <c r="O102" s="25"/>
      <c r="P102" s="24"/>
      <c r="Q102" s="24"/>
      <c r="R102" s="23"/>
      <c r="S102" s="23"/>
      <c r="T102" s="24"/>
      <c r="U102" s="24"/>
      <c r="V102" s="23"/>
      <c r="W102" s="24"/>
      <c r="X102" s="23"/>
      <c r="Y102" s="23"/>
      <c r="Z102" s="19"/>
      <c r="AA102" s="19"/>
      <c r="AB102" s="23"/>
      <c r="AC102" s="24"/>
      <c r="AD102" s="24"/>
      <c r="AE102" s="19"/>
      <c r="AF102" s="23"/>
      <c r="AG102" s="23"/>
      <c r="AH102" s="23"/>
      <c r="AI102" s="23"/>
      <c r="AJ102" s="24"/>
      <c r="AK102" s="24"/>
      <c r="AL102" s="24"/>
      <c r="AM102" s="23"/>
    </row>
    <row r="103" spans="1:52" s="111" customFormat="1" ht="58" x14ac:dyDescent="0.35">
      <c r="A103" s="110"/>
      <c r="B103" s="110" t="s">
        <v>92</v>
      </c>
      <c r="C103" s="110" t="s">
        <v>87</v>
      </c>
      <c r="D103" s="110" t="s">
        <v>88</v>
      </c>
      <c r="E103" s="110"/>
      <c r="F103" s="110"/>
      <c r="G103" s="110"/>
      <c r="H103" s="60" t="s">
        <v>69</v>
      </c>
      <c r="I103" s="60" t="s">
        <v>70</v>
      </c>
      <c r="J103" s="60" t="s">
        <v>52</v>
      </c>
      <c r="K103" s="60" t="s">
        <v>51</v>
      </c>
      <c r="L103" s="60" t="s">
        <v>54</v>
      </c>
      <c r="M103" s="60" t="s">
        <v>71</v>
      </c>
      <c r="N103" s="60" t="s">
        <v>72</v>
      </c>
      <c r="O103" s="60" t="s">
        <v>73</v>
      </c>
      <c r="P103" s="60" t="s">
        <v>132</v>
      </c>
      <c r="Q103" s="60" t="s">
        <v>133</v>
      </c>
      <c r="R103" s="60" t="s">
        <v>55</v>
      </c>
      <c r="S103" s="60" t="s">
        <v>56</v>
      </c>
      <c r="T103" s="130" t="s">
        <v>61</v>
      </c>
      <c r="U103" s="60" t="s">
        <v>127</v>
      </c>
      <c r="V103" s="60" t="s">
        <v>134</v>
      </c>
      <c r="W103" s="60" t="s">
        <v>135</v>
      </c>
      <c r="X103" s="60" t="s">
        <v>57</v>
      </c>
      <c r="Y103" s="60" t="s">
        <v>136</v>
      </c>
      <c r="Z103" s="60" t="s">
        <v>137</v>
      </c>
      <c r="AA103" s="60" t="s">
        <v>138</v>
      </c>
      <c r="AB103" s="60" t="s">
        <v>139</v>
      </c>
      <c r="AC103" s="60" t="s">
        <v>74</v>
      </c>
      <c r="AD103" s="60" t="s">
        <v>58</v>
      </c>
      <c r="AE103" s="60" t="s">
        <v>140</v>
      </c>
      <c r="AF103" s="61" t="s">
        <v>268</v>
      </c>
      <c r="AG103" s="61" t="s">
        <v>269</v>
      </c>
      <c r="AH103" s="61" t="s">
        <v>270</v>
      </c>
      <c r="AI103" s="60" t="s">
        <v>76</v>
      </c>
      <c r="AJ103" s="60" t="s">
        <v>77</v>
      </c>
      <c r="AK103" s="60" t="s">
        <v>78</v>
      </c>
      <c r="AL103" s="60" t="s">
        <v>79</v>
      </c>
      <c r="AM103" s="60" t="s">
        <v>80</v>
      </c>
      <c r="AN103" s="130" t="s">
        <v>81</v>
      </c>
      <c r="AO103" s="130" t="s">
        <v>82</v>
      </c>
      <c r="AP103" s="60" t="s">
        <v>53</v>
      </c>
      <c r="AQ103" s="60" t="s">
        <v>141</v>
      </c>
      <c r="AR103" s="60" t="s">
        <v>142</v>
      </c>
      <c r="AS103" s="60" t="s">
        <v>143</v>
      </c>
      <c r="AT103" s="60" t="s">
        <v>83</v>
      </c>
      <c r="AU103" s="60" t="s">
        <v>144</v>
      </c>
      <c r="AV103" s="60" t="s">
        <v>84</v>
      </c>
      <c r="AW103" s="60" t="s">
        <v>145</v>
      </c>
      <c r="AX103" s="60" t="s">
        <v>146</v>
      </c>
      <c r="AY103" s="60" t="s">
        <v>85</v>
      </c>
      <c r="AZ103" s="60" t="s">
        <v>60</v>
      </c>
    </row>
    <row r="104" spans="1:52" x14ac:dyDescent="0.35">
      <c r="B104" s="29">
        <f>B48</f>
        <v>5767.5780000000004</v>
      </c>
      <c r="C104" s="29">
        <f>J44</f>
        <v>5483.4080000000004</v>
      </c>
      <c r="D104" s="29">
        <f>K44</f>
        <v>5243.7089999999998</v>
      </c>
      <c r="E104" s="29"/>
      <c r="F104" s="29"/>
      <c r="G104" s="29"/>
      <c r="H104" s="29">
        <v>3500.5160000000001</v>
      </c>
      <c r="I104" s="29">
        <v>3510.7849999999999</v>
      </c>
      <c r="J104" s="59">
        <v>3507.8449999999998</v>
      </c>
      <c r="K104" s="29">
        <v>3487.6990000000001</v>
      </c>
      <c r="L104" s="29">
        <v>3476.6550000000002</v>
      </c>
      <c r="M104" s="29">
        <v>3481.7739999999999</v>
      </c>
      <c r="N104" s="29">
        <v>3494.0419999999999</v>
      </c>
      <c r="O104" s="29">
        <v>3413.8879999999999</v>
      </c>
      <c r="P104" s="29">
        <v>3518.8409999999999</v>
      </c>
      <c r="Q104" s="29">
        <v>3564.6950000000002</v>
      </c>
      <c r="R104" s="29">
        <v>3382.4110000000001</v>
      </c>
      <c r="S104" s="29">
        <v>3482.192</v>
      </c>
      <c r="T104" s="113">
        <v>3412.77</v>
      </c>
      <c r="U104" s="113">
        <v>3435.4609999999998</v>
      </c>
      <c r="V104" s="29">
        <v>3416.0169999999998</v>
      </c>
      <c r="W104" s="29">
        <v>3539.047</v>
      </c>
      <c r="X104" s="29">
        <v>3421.5839999999998</v>
      </c>
      <c r="Y104" s="29">
        <v>3568.6419999999998</v>
      </c>
      <c r="Z104" s="29">
        <v>3561.0160000000001</v>
      </c>
      <c r="AA104" s="29">
        <v>3404.8719999999998</v>
      </c>
      <c r="AB104" s="29">
        <v>3381.9290000000001</v>
      </c>
      <c r="AC104" s="29">
        <v>3619.221</v>
      </c>
      <c r="AD104" s="29">
        <v>3403.3490000000002</v>
      </c>
      <c r="AE104" s="29">
        <v>3589.6729999999998</v>
      </c>
      <c r="AF104" s="59">
        <v>3582.9360000000001</v>
      </c>
      <c r="AG104" s="59">
        <v>3414.3229999999999</v>
      </c>
      <c r="AH104" s="59">
        <v>3480.596</v>
      </c>
      <c r="AI104" s="29">
        <v>3440.7510000000002</v>
      </c>
      <c r="AJ104" s="29">
        <v>3556.1439999999998</v>
      </c>
      <c r="AK104" s="29">
        <v>3621.902</v>
      </c>
      <c r="AL104" s="29">
        <v>3505.9720000000002</v>
      </c>
      <c r="AM104" s="29">
        <v>3591.8870000000002</v>
      </c>
      <c r="AN104" s="29">
        <v>3428.922</v>
      </c>
      <c r="AO104" s="29">
        <v>3108.038</v>
      </c>
      <c r="AP104" s="29">
        <v>3511.0160000000001</v>
      </c>
      <c r="AQ104" s="29">
        <v>3514.828</v>
      </c>
      <c r="AR104" s="29">
        <v>3519.527</v>
      </c>
      <c r="AS104" s="29">
        <v>3501.7170000000001</v>
      </c>
      <c r="AT104" s="29">
        <v>3856.4459999999999</v>
      </c>
      <c r="AU104" s="29">
        <v>3722.877</v>
      </c>
      <c r="AV104" s="29">
        <v>3569.34</v>
      </c>
      <c r="AW104" s="29">
        <v>3564.6990000000001</v>
      </c>
      <c r="AX104" s="29">
        <v>3512.8850000000002</v>
      </c>
      <c r="AY104" s="29">
        <v>3624.953</v>
      </c>
      <c r="AZ104" s="29">
        <v>3288.011</v>
      </c>
    </row>
    <row r="105" spans="1:52" x14ac:dyDescent="0.35">
      <c r="T105" s="14"/>
      <c r="U105" s="14"/>
      <c r="AF105" s="5"/>
      <c r="AG105" s="5"/>
      <c r="AH105" s="5"/>
    </row>
    <row r="106" spans="1:52" x14ac:dyDescent="0.35">
      <c r="A106" s="7"/>
      <c r="B106" s="7">
        <f>D48</f>
        <v>0.14186854088299361</v>
      </c>
      <c r="C106" s="7">
        <f>M48</f>
        <v>0.14219263512175817</v>
      </c>
      <c r="D106" s="7">
        <f>N48</f>
        <v>0.18264264502078809</v>
      </c>
      <c r="E106" s="7"/>
      <c r="F106" s="7"/>
      <c r="G106" s="7"/>
      <c r="H106" s="1">
        <f>H104/$B$44-1</f>
        <v>-0.30696574935656307</v>
      </c>
      <c r="I106" s="1">
        <f t="shared" ref="I106:AZ106" si="16">I104/$B$44-1</f>
        <v>-0.30493268659671358</v>
      </c>
      <c r="J106" s="1">
        <f t="shared" si="16"/>
        <v>-0.30551474955454372</v>
      </c>
      <c r="K106" s="1">
        <f t="shared" si="16"/>
        <v>-0.30950326667986539</v>
      </c>
      <c r="L106" s="1">
        <f t="shared" si="16"/>
        <v>-0.31168976440308849</v>
      </c>
      <c r="M106" s="1">
        <f t="shared" si="16"/>
        <v>-0.31067630172243121</v>
      </c>
      <c r="N106" s="1">
        <f t="shared" si="16"/>
        <v>-0.30824747574737676</v>
      </c>
      <c r="O106" s="1">
        <f t="shared" si="16"/>
        <v>-0.32411641259156609</v>
      </c>
      <c r="P106" s="1">
        <f t="shared" si="16"/>
        <v>-0.3033377549000198</v>
      </c>
      <c r="Q106" s="1">
        <f t="shared" si="16"/>
        <v>-0.29425955256384873</v>
      </c>
      <c r="R106" s="1">
        <f t="shared" si="16"/>
        <v>-0.33034824787170858</v>
      </c>
      <c r="S106" s="1">
        <f t="shared" si="16"/>
        <v>-0.31059354583250842</v>
      </c>
      <c r="T106" s="131">
        <f t="shared" si="16"/>
        <v>-0.32433775490001981</v>
      </c>
      <c r="U106" s="1">
        <f t="shared" si="16"/>
        <v>-0.31984537715303907</v>
      </c>
      <c r="V106" s="1">
        <f t="shared" si="16"/>
        <v>-0.32369491189863397</v>
      </c>
      <c r="W106" s="1">
        <f t="shared" si="16"/>
        <v>-0.29933735893882396</v>
      </c>
      <c r="X106" s="1">
        <f t="shared" si="16"/>
        <v>-0.32259275391011688</v>
      </c>
      <c r="Y106" s="1">
        <f t="shared" si="16"/>
        <v>-0.29347812314393196</v>
      </c>
      <c r="Z106" s="1">
        <f t="shared" si="16"/>
        <v>-0.29498792318352796</v>
      </c>
      <c r="AA106" s="1">
        <f t="shared" si="16"/>
        <v>-0.32590140566224512</v>
      </c>
      <c r="AB106" s="1">
        <f t="shared" si="16"/>
        <v>-0.33044367451989698</v>
      </c>
      <c r="AC106" s="1">
        <f t="shared" si="16"/>
        <v>-0.28346446248267665</v>
      </c>
      <c r="AD106" s="1">
        <f t="shared" si="16"/>
        <v>-0.32620293011284895</v>
      </c>
      <c r="AE106" s="1">
        <f t="shared" si="16"/>
        <v>-0.2893143931894675</v>
      </c>
      <c r="AF106" s="1">
        <f t="shared" si="16"/>
        <v>-0.29064818847752916</v>
      </c>
      <c r="AG106" s="1">
        <f t="shared" si="16"/>
        <v>-0.32403029103147896</v>
      </c>
      <c r="AH106" s="1">
        <f t="shared" si="16"/>
        <v>-0.3109095228667591</v>
      </c>
      <c r="AI106" s="1">
        <f t="shared" si="16"/>
        <v>-0.31879805979014053</v>
      </c>
      <c r="AJ106" s="1">
        <f t="shared" si="16"/>
        <v>-0.2959524846565037</v>
      </c>
      <c r="AK106" s="1">
        <f t="shared" si="16"/>
        <v>-0.28293367649970302</v>
      </c>
      <c r="AL106" s="1">
        <f t="shared" si="16"/>
        <v>-0.30588556721441296</v>
      </c>
      <c r="AM106" s="1">
        <f t="shared" si="16"/>
        <v>-0.28887606414571365</v>
      </c>
      <c r="AN106" s="1">
        <f t="shared" si="16"/>
        <v>-0.32113997228271629</v>
      </c>
      <c r="AO106" s="1">
        <f t="shared" si="16"/>
        <v>-0.38466877845971092</v>
      </c>
      <c r="AP106" s="1">
        <f t="shared" si="16"/>
        <v>-0.30488695307859826</v>
      </c>
      <c r="AQ106" s="1">
        <f t="shared" si="16"/>
        <v>-0.30413225103939812</v>
      </c>
      <c r="AR106" s="1">
        <f t="shared" si="16"/>
        <v>-0.30320194020985947</v>
      </c>
      <c r="AS106" s="1">
        <f t="shared" si="16"/>
        <v>-0.30672797465848345</v>
      </c>
      <c r="AT106" s="1">
        <f t="shared" si="16"/>
        <v>-0.23649851514551579</v>
      </c>
      <c r="AU106" s="1">
        <f t="shared" si="16"/>
        <v>-0.26294258562660855</v>
      </c>
      <c r="AV106" s="1">
        <f t="shared" si="16"/>
        <v>-0.29333993268659664</v>
      </c>
      <c r="AW106" s="1">
        <f t="shared" si="16"/>
        <v>-0.29425876064145717</v>
      </c>
      <c r="AX106" s="1">
        <f t="shared" si="16"/>
        <v>-0.30451692734112057</v>
      </c>
      <c r="AY106" s="1">
        <f t="shared" si="16"/>
        <v>-0.2823296376955059</v>
      </c>
      <c r="AZ106" s="1">
        <f t="shared" si="16"/>
        <v>-0.34903761631360131</v>
      </c>
    </row>
    <row r="107" spans="1:52" x14ac:dyDescent="0.35">
      <c r="D107" s="1"/>
      <c r="E107" s="1"/>
      <c r="F107" s="1"/>
      <c r="G107" s="1"/>
      <c r="AD107" s="10"/>
    </row>
    <row r="108" spans="1:52" x14ac:dyDescent="0.35">
      <c r="B108" s="29"/>
      <c r="D108" s="29"/>
      <c r="E108" s="29"/>
      <c r="F108" s="29"/>
      <c r="G108" s="29"/>
      <c r="AD108" s="1"/>
    </row>
    <row r="109" spans="1:52" x14ac:dyDescent="0.35">
      <c r="B109" s="29"/>
      <c r="C109" s="29"/>
      <c r="D109" s="29"/>
      <c r="E109" s="29"/>
      <c r="F109" s="29"/>
      <c r="G109" s="29"/>
      <c r="H109" s="2" t="s">
        <v>179</v>
      </c>
      <c r="I109" s="55">
        <f>AVERAGE(H106:AZ106)</f>
        <v>-0.3071000505950417</v>
      </c>
      <c r="J109" s="4"/>
    </row>
    <row r="110" spans="1:52" x14ac:dyDescent="0.35">
      <c r="H110" t="s">
        <v>180</v>
      </c>
      <c r="I110" s="2">
        <f>MEDIAN(H106:AZ106)</f>
        <v>-0.30588556721441296</v>
      </c>
    </row>
    <row r="112" spans="1:52" x14ac:dyDescent="0.35">
      <c r="B112" s="29"/>
      <c r="D112" s="29" t="s">
        <v>183</v>
      </c>
      <c r="E112" s="29"/>
      <c r="F112" s="29"/>
      <c r="G112" s="29"/>
      <c r="H112" s="3">
        <f>AVERAGE(H104:AZ104)</f>
        <v>3499.8376444444457</v>
      </c>
      <c r="P112" s="8"/>
      <c r="R112" s="8"/>
      <c r="S112" s="8"/>
      <c r="U112" s="8"/>
      <c r="W112" s="8"/>
    </row>
    <row r="114" spans="8:23" x14ac:dyDescent="0.35">
      <c r="H114" t="s">
        <v>181</v>
      </c>
      <c r="I114" s="2">
        <f>MAX(H106:AZ106)</f>
        <v>-0.23649851514551579</v>
      </c>
      <c r="P114" s="16"/>
      <c r="Q114" s="2"/>
      <c r="R114" s="16"/>
      <c r="S114" s="16"/>
      <c r="T114" s="2"/>
      <c r="U114" s="16"/>
      <c r="V114" s="2"/>
      <c r="W114" s="16"/>
    </row>
    <row r="115" spans="8:23" x14ac:dyDescent="0.35">
      <c r="H115" t="s">
        <v>182</v>
      </c>
      <c r="I115" s="2">
        <f>MIN(H106:AZ106)</f>
        <v>-0.38466877845971092</v>
      </c>
    </row>
    <row r="123" spans="8:23" x14ac:dyDescent="0.35">
      <c r="J123" s="136" t="s">
        <v>250</v>
      </c>
      <c r="K123" s="30" t="s">
        <v>93</v>
      </c>
      <c r="L123" s="30" t="s">
        <v>94</v>
      </c>
    </row>
    <row r="124" spans="8:23" x14ac:dyDescent="0.35">
      <c r="J124" s="136"/>
      <c r="K124" s="31"/>
      <c r="L124" s="31"/>
    </row>
    <row r="125" spans="8:23" x14ac:dyDescent="0.35">
      <c r="J125" s="136"/>
      <c r="K125" s="33">
        <v>3285.7413543606312</v>
      </c>
      <c r="L125" s="33">
        <v>3442.8562149866466</v>
      </c>
    </row>
    <row r="126" spans="8:23" x14ac:dyDescent="0.35">
      <c r="J126" s="136"/>
      <c r="K126" s="32">
        <v>4.4418739466189239E-2</v>
      </c>
      <c r="L126" s="32">
        <v>9.435989033269121E-2</v>
      </c>
    </row>
    <row r="127" spans="8:23" x14ac:dyDescent="0.35">
      <c r="J127" s="136"/>
      <c r="K127" s="31"/>
      <c r="L127" s="31"/>
    </row>
    <row r="132" spans="3:17" x14ac:dyDescent="0.35">
      <c r="K132">
        <v>8.6999999999999993</v>
      </c>
    </row>
    <row r="133" spans="3:17" x14ac:dyDescent="0.35">
      <c r="K133">
        <v>6.2</v>
      </c>
    </row>
    <row r="140" spans="3:17" x14ac:dyDescent="0.35">
      <c r="Q140" s="16"/>
    </row>
    <row r="142" spans="3:17" x14ac:dyDescent="0.35">
      <c r="C142" s="8" t="s">
        <v>86</v>
      </c>
      <c r="I142" s="26">
        <f>B104</f>
        <v>5767.5780000000004</v>
      </c>
      <c r="K142" s="7">
        <f>B106</f>
        <v>0.14186854088299361</v>
      </c>
      <c r="M142" t="s">
        <v>166</v>
      </c>
      <c r="Q142" s="16"/>
    </row>
    <row r="144" spans="3:17" x14ac:dyDescent="0.35">
      <c r="C144" s="8" t="s">
        <v>87</v>
      </c>
      <c r="I144" s="26">
        <f>C104</f>
        <v>5483.4080000000004</v>
      </c>
      <c r="K144" s="7">
        <f>C106</f>
        <v>0.14219263512175817</v>
      </c>
      <c r="M144" t="s">
        <v>224</v>
      </c>
      <c r="Q144" s="16"/>
    </row>
    <row r="146" spans="3:18" x14ac:dyDescent="0.35">
      <c r="C146" s="8" t="s">
        <v>88</v>
      </c>
      <c r="I146" s="26">
        <f>D104</f>
        <v>5243.7089999999998</v>
      </c>
      <c r="K146" s="7">
        <f>D106</f>
        <v>0.18264264502078809</v>
      </c>
      <c r="M146" t="s">
        <v>176</v>
      </c>
      <c r="Q146" s="16"/>
    </row>
    <row r="148" spans="3:18" x14ac:dyDescent="0.35">
      <c r="C148" s="8"/>
      <c r="I148" s="28"/>
      <c r="K148" s="16"/>
    </row>
    <row r="151" spans="3:18" x14ac:dyDescent="0.35">
      <c r="J151" s="137" t="s">
        <v>177</v>
      </c>
      <c r="K151" s="137"/>
      <c r="L151" s="137"/>
      <c r="M151" s="137"/>
      <c r="N151" s="138" t="s">
        <v>178</v>
      </c>
      <c r="O151" s="138"/>
      <c r="P151" s="138"/>
      <c r="Q151" s="138"/>
      <c r="R151" s="8"/>
    </row>
    <row r="152" spans="3:18" x14ac:dyDescent="0.35">
      <c r="J152" s="57" t="s">
        <v>149</v>
      </c>
      <c r="K152" s="57" t="s">
        <v>150</v>
      </c>
      <c r="L152" s="57" t="s">
        <v>151</v>
      </c>
      <c r="M152" s="57" t="s">
        <v>152</v>
      </c>
      <c r="N152" s="58"/>
      <c r="O152" s="58" t="s">
        <v>149</v>
      </c>
      <c r="P152" s="58" t="s">
        <v>150</v>
      </c>
      <c r="Q152" s="58" t="s">
        <v>151</v>
      </c>
      <c r="R152" s="8" t="s">
        <v>152</v>
      </c>
    </row>
    <row r="153" spans="3:18" x14ac:dyDescent="0.35">
      <c r="I153" t="s">
        <v>184</v>
      </c>
      <c r="J153" s="7">
        <f>D36</f>
        <v>7.658321060382911E-2</v>
      </c>
      <c r="K153" s="7">
        <f>D37</f>
        <v>2.5985465756441339E-2</v>
      </c>
      <c r="L153" s="7">
        <f>B54</f>
        <v>0.11240663144470764</v>
      </c>
      <c r="M153" s="7">
        <f>B106</f>
        <v>0.14186854088299361</v>
      </c>
      <c r="N153" s="7">
        <f>AVERAGE(J153:M153)</f>
        <v>8.9210962171992925E-2</v>
      </c>
      <c r="O153" s="56">
        <f>B54</f>
        <v>0.11240663144470764</v>
      </c>
      <c r="P153" s="106">
        <f>B106</f>
        <v>0.14186854088299361</v>
      </c>
      <c r="Q153" s="5"/>
    </row>
    <row r="154" spans="3:18" x14ac:dyDescent="0.35">
      <c r="I154" t="s">
        <v>186</v>
      </c>
      <c r="J154" s="7">
        <f>D36</f>
        <v>7.658321060382911E-2</v>
      </c>
      <c r="K154" s="7">
        <f>D37</f>
        <v>2.5985465756441339E-2</v>
      </c>
      <c r="L154" s="7">
        <f>D38</f>
        <v>0.10617860851505712</v>
      </c>
      <c r="M154" s="7">
        <f>D39</f>
        <v>0.13479758828596045</v>
      </c>
      <c r="N154" s="7">
        <f>AVERAGE(J154:M154)</f>
        <v>8.5886218290322003E-2</v>
      </c>
      <c r="O154" s="2">
        <v>9.7000000000000003E-2</v>
      </c>
      <c r="P154" s="2">
        <v>8.2000000000000003E-2</v>
      </c>
      <c r="Q154" s="1">
        <v>7.9000000000000001E-2</v>
      </c>
      <c r="R154" s="1">
        <v>5.0999999999999997E-2</v>
      </c>
    </row>
    <row r="155" spans="3:18" x14ac:dyDescent="0.35">
      <c r="I155" t="s">
        <v>187</v>
      </c>
      <c r="M155" s="16"/>
      <c r="N155" s="7">
        <v>6.2E-2</v>
      </c>
      <c r="O155" s="2"/>
      <c r="P155" s="2"/>
      <c r="Q155" s="2"/>
    </row>
    <row r="156" spans="3:18" x14ac:dyDescent="0.35">
      <c r="I156" s="139" t="s">
        <v>185</v>
      </c>
      <c r="J156" s="7"/>
      <c r="K156" s="7"/>
      <c r="L156" s="7"/>
      <c r="M156" s="7"/>
      <c r="N156" s="54">
        <f>N153-N155</f>
        <v>2.7210962171992925E-2</v>
      </c>
    </row>
    <row r="157" spans="3:18" x14ac:dyDescent="0.35">
      <c r="I157" s="139"/>
      <c r="J157" s="2">
        <f t="shared" ref="J157:O157" si="17">J153-J154</f>
        <v>0</v>
      </c>
      <c r="K157" s="2">
        <f t="shared" si="17"/>
        <v>0</v>
      </c>
      <c r="L157" s="2">
        <f t="shared" si="17"/>
        <v>6.228022929650523E-3</v>
      </c>
      <c r="M157" s="2">
        <f t="shared" si="17"/>
        <v>7.0709525970331644E-3</v>
      </c>
      <c r="N157" s="2">
        <f t="shared" si="17"/>
        <v>3.3247438816709218E-3</v>
      </c>
      <c r="O157" s="2">
        <f t="shared" si="17"/>
        <v>1.5406631444707636E-2</v>
      </c>
    </row>
    <row r="158" spans="3:18" x14ac:dyDescent="0.35">
      <c r="J158" s="4"/>
      <c r="K158" s="4"/>
      <c r="L158" s="4"/>
      <c r="M158" s="4"/>
    </row>
  </sheetData>
  <mergeCells count="5">
    <mergeCell ref="I73:I77"/>
    <mergeCell ref="J123:J127"/>
    <mergeCell ref="J151:M151"/>
    <mergeCell ref="N151:Q151"/>
    <mergeCell ref="I156:I157"/>
  </mergeCells>
  <phoneticPr fontId="8" type="noConversion"/>
  <conditionalFormatting sqref="B4:B47">
    <cfRule type="cellIs" dxfId="5" priority="4" operator="lessThan">
      <formula>0</formula>
    </cfRule>
  </conditionalFormatting>
  <conditionalFormatting sqref="B48:B49">
    <cfRule type="cellIs" dxfId="4" priority="3" operator="lessThan">
      <formula>0</formula>
    </cfRule>
  </conditionalFormatting>
  <conditionalFormatting sqref="E4:E44">
    <cfRule type="cellIs" dxfId="3" priority="2" operator="lessThan">
      <formula>0</formula>
    </cfRule>
  </conditionalFormatting>
  <conditionalFormatting sqref="E45:E49">
    <cfRule type="cellIs" dxfId="2" priority="1" operator="lessThan">
      <formula>0</formula>
    </cfRule>
  </conditionalFormatting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CFB0-C3A5-46EF-A89C-1514C54CF849}">
  <dimension ref="A2:M14"/>
  <sheetViews>
    <sheetView topLeftCell="A4" workbookViewId="0">
      <selection activeCell="C5" sqref="C5"/>
    </sheetView>
  </sheetViews>
  <sheetFormatPr defaultRowHeight="14.5" x14ac:dyDescent="0.35"/>
  <cols>
    <col min="3" max="3" width="8.81640625" bestFit="1" customWidth="1"/>
  </cols>
  <sheetData>
    <row r="2" spans="1:13" x14ac:dyDescent="0.35">
      <c r="B2" t="s">
        <v>254</v>
      </c>
      <c r="C2" t="s">
        <v>255</v>
      </c>
      <c r="D2" t="s">
        <v>262</v>
      </c>
      <c r="E2" t="s">
        <v>261</v>
      </c>
      <c r="F2" t="s">
        <v>260</v>
      </c>
    </row>
    <row r="3" spans="1:13" x14ac:dyDescent="0.35">
      <c r="A3" s="125">
        <f>C3/D3*100</f>
        <v>3141.1764705882351</v>
      </c>
      <c r="B3" s="104">
        <v>3146</v>
      </c>
      <c r="C3" s="125">
        <v>4806</v>
      </c>
      <c r="D3" s="125">
        <v>153</v>
      </c>
      <c r="E3" s="80">
        <v>4.7945205479452024E-2</v>
      </c>
      <c r="F3" s="2">
        <f>D10</f>
        <v>4.1050426406323837E-2</v>
      </c>
      <c r="G3" s="80"/>
      <c r="H3" s="80"/>
      <c r="I3" s="80"/>
    </row>
    <row r="4" spans="1:13" x14ac:dyDescent="0.35">
      <c r="A4" s="125">
        <f t="shared" ref="A4:A5" si="0">C4/D4*100</f>
        <v>3271.0526315789471</v>
      </c>
      <c r="B4" s="112">
        <v>3274</v>
      </c>
      <c r="C4" s="125">
        <v>4972</v>
      </c>
      <c r="D4" s="125">
        <v>152</v>
      </c>
      <c r="E4" s="80">
        <v>2.7027027027026973E-2</v>
      </c>
      <c r="F4" s="2">
        <f>G10</f>
        <v>5.1728811253456186E-2</v>
      </c>
    </row>
    <row r="5" spans="1:13" x14ac:dyDescent="0.35">
      <c r="A5" s="125">
        <f t="shared" si="0"/>
        <v>3243.8271604938273</v>
      </c>
      <c r="B5" s="101">
        <v>3241</v>
      </c>
      <c r="C5" s="125">
        <v>5255</v>
      </c>
      <c r="D5" s="125">
        <v>162</v>
      </c>
      <c r="E5" s="80">
        <v>8.7248322147650992E-2</v>
      </c>
      <c r="F5" s="2">
        <f>J10</f>
        <v>6.7456487461849735E-2</v>
      </c>
    </row>
    <row r="6" spans="1:13" x14ac:dyDescent="0.35">
      <c r="B6" s="101">
        <v>3310.9110000000001</v>
      </c>
      <c r="C6" s="128">
        <f>B6*D6/100</f>
        <v>5471.6692928859065</v>
      </c>
      <c r="D6" s="127">
        <v>165.26174496644296</v>
      </c>
      <c r="E6" s="126">
        <f>E5</f>
        <v>8.7248322147650992E-2</v>
      </c>
      <c r="F6" s="2">
        <f>M10</f>
        <v>6.7322850004941717E-2</v>
      </c>
    </row>
    <row r="7" spans="1:13" x14ac:dyDescent="0.35">
      <c r="B7" t="s">
        <v>263</v>
      </c>
      <c r="C7" s="129">
        <f>SUM(C3:C6)</f>
        <v>20504.669292885905</v>
      </c>
    </row>
    <row r="8" spans="1:13" x14ac:dyDescent="0.35">
      <c r="B8" t="s">
        <v>258</v>
      </c>
      <c r="C8">
        <v>21512</v>
      </c>
      <c r="D8" s="1">
        <f>C8/C7-1</f>
        <v>4.9126893622399859E-2</v>
      </c>
    </row>
    <row r="9" spans="1:13" x14ac:dyDescent="0.35">
      <c r="A9" t="s">
        <v>259</v>
      </c>
      <c r="B9" s="1">
        <v>4.8478972328930503E-2</v>
      </c>
      <c r="C9" s="1">
        <v>4.9507650540012493E-2</v>
      </c>
      <c r="D9" s="1">
        <v>2.5164656350028514E-2</v>
      </c>
      <c r="E9" s="1">
        <v>3.7744310408021731E-2</v>
      </c>
      <c r="F9" s="1">
        <v>4.9654130038269795E-2</v>
      </c>
      <c r="G9" s="1">
        <v>6.7787993314077033E-2</v>
      </c>
      <c r="H9" s="1">
        <v>7.448307651635977E-2</v>
      </c>
      <c r="I9" s="1">
        <v>6.2532304706540254E-2</v>
      </c>
      <c r="J9" s="1">
        <v>6.535408116264918E-2</v>
      </c>
      <c r="K9" s="1">
        <v>6.270695383382674E-2</v>
      </c>
      <c r="L9" s="1">
        <v>6.892061617601053E-2</v>
      </c>
      <c r="M9" s="1">
        <v>7.0340980004987896E-2</v>
      </c>
    </row>
    <row r="10" spans="1:13" x14ac:dyDescent="0.35">
      <c r="D10" s="2">
        <f>AVERAGE(B9:D9)</f>
        <v>4.1050426406323837E-2</v>
      </c>
      <c r="G10" s="2">
        <f>AVERAGE(E9:G9)</f>
        <v>5.1728811253456186E-2</v>
      </c>
      <c r="J10" s="2">
        <f>AVERAGE(H9:J9)</f>
        <v>6.7456487461849735E-2</v>
      </c>
      <c r="M10" s="2">
        <f>AVERAGE(K9:M9)</f>
        <v>6.7322850004941717E-2</v>
      </c>
    </row>
    <row r="12" spans="1:13" x14ac:dyDescent="0.35">
      <c r="B12" t="s">
        <v>256</v>
      </c>
      <c r="C12">
        <v>17747</v>
      </c>
      <c r="D12">
        <v>20072.134256202786</v>
      </c>
    </row>
    <row r="13" spans="1:13" x14ac:dyDescent="0.35">
      <c r="B13" t="s">
        <v>257</v>
      </c>
      <c r="C13">
        <v>18371</v>
      </c>
    </row>
    <row r="14" spans="1:13" x14ac:dyDescent="0.35">
      <c r="C14" s="80">
        <f>C13/C12-1</f>
        <v>3.5160872260100229E-2</v>
      </c>
    </row>
  </sheetData>
  <phoneticPr fontId="8" type="noConversion"/>
  <conditionalFormatting sqref="A3:A5">
    <cfRule type="cellIs" dxfId="1" priority="2" operator="lessThan">
      <formula>0</formula>
    </cfRule>
  </conditionalFormatting>
  <conditionalFormatting sqref="C3:C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8"/>
  <sheetViews>
    <sheetView topLeftCell="AD1" workbookViewId="0">
      <selection activeCell="AL13" sqref="AL13"/>
    </sheetView>
  </sheetViews>
  <sheetFormatPr defaultRowHeight="14.5" x14ac:dyDescent="0.35"/>
  <cols>
    <col min="5" max="5" width="26" bestFit="1" customWidth="1"/>
    <col min="6" max="6" width="26.1796875" bestFit="1" customWidth="1"/>
    <col min="7" max="8" width="25.1796875" bestFit="1" customWidth="1"/>
    <col min="9" max="9" width="26.81640625" bestFit="1" customWidth="1"/>
    <col min="10" max="10" width="16" bestFit="1" customWidth="1"/>
    <col min="11" max="11" width="22.453125" bestFit="1" customWidth="1"/>
    <col min="12" max="12" width="23.453125" bestFit="1" customWidth="1"/>
    <col min="13" max="13" width="21" bestFit="1" customWidth="1"/>
    <col min="14" max="14" width="21.1796875" bestFit="1" customWidth="1"/>
    <col min="15" max="15" width="28.26953125" bestFit="1" customWidth="1"/>
    <col min="16" max="16" width="25.1796875" bestFit="1" customWidth="1"/>
    <col min="17" max="17" width="28.26953125" bestFit="1" customWidth="1"/>
    <col min="18" max="18" width="21.453125" bestFit="1" customWidth="1"/>
    <col min="19" max="19" width="24.1796875" bestFit="1" customWidth="1"/>
    <col min="20" max="20" width="15.81640625" bestFit="1" customWidth="1"/>
    <col min="21" max="21" width="23.7265625" bestFit="1" customWidth="1"/>
    <col min="22" max="22" width="26.81640625" bestFit="1" customWidth="1"/>
    <col min="23" max="23" width="21.54296875" bestFit="1" customWidth="1"/>
    <col min="24" max="24" width="23" bestFit="1" customWidth="1"/>
    <col min="25" max="25" width="16" bestFit="1" customWidth="1"/>
    <col min="26" max="26" width="22.7265625" bestFit="1" customWidth="1"/>
    <col min="27" max="27" width="23.26953125" bestFit="1" customWidth="1"/>
    <col min="28" max="28" width="24.453125" bestFit="1" customWidth="1"/>
    <col min="29" max="29" width="27.453125" bestFit="1" customWidth="1"/>
    <col min="30" max="30" width="31" bestFit="1" customWidth="1"/>
    <col min="31" max="31" width="31.54296875" bestFit="1" customWidth="1"/>
    <col min="32" max="32" width="25" bestFit="1" customWidth="1"/>
    <col min="33" max="33" width="19.54296875" bestFit="1" customWidth="1"/>
  </cols>
  <sheetData>
    <row r="1" spans="1:38" x14ac:dyDescent="0.3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</row>
    <row r="3" spans="1:38" x14ac:dyDescent="0.35"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</row>
    <row r="4" spans="1:38" x14ac:dyDescent="0.35">
      <c r="A4" t="s">
        <v>91</v>
      </c>
      <c r="E4">
        <v>1838.59716415761</v>
      </c>
      <c r="F4">
        <v>1848.6696225901701</v>
      </c>
      <c r="G4">
        <v>1835.81627000564</v>
      </c>
      <c r="H4">
        <v>1865.0824507857701</v>
      </c>
      <c r="I4">
        <v>1.0039296784206E-2</v>
      </c>
      <c r="J4">
        <v>1.53480349528516E-2</v>
      </c>
      <c r="K4">
        <v>1851.4524394119401</v>
      </c>
      <c r="L4">
        <v>1847.4928747194199</v>
      </c>
      <c r="M4">
        <v>1837.53413085545</v>
      </c>
      <c r="N4">
        <v>1838.9100811963899</v>
      </c>
      <c r="O4">
        <v>1846.4497164419399</v>
      </c>
      <c r="P4">
        <v>1866.8290528223099</v>
      </c>
      <c r="Q4">
        <v>1875.31528009469</v>
      </c>
      <c r="R4">
        <v>1822.02337354919</v>
      </c>
      <c r="S4">
        <v>1845.88415222973</v>
      </c>
      <c r="T4">
        <v>1830.89954046458</v>
      </c>
      <c r="U4">
        <v>1846.5512657839599</v>
      </c>
      <c r="V4">
        <v>1838.3597622710399</v>
      </c>
      <c r="W4">
        <v>1839.73672623168</v>
      </c>
      <c r="X4">
        <v>1840.59640676087</v>
      </c>
      <c r="Y4">
        <v>1858.4769001227401</v>
      </c>
      <c r="Z4">
        <v>1860.11787487779</v>
      </c>
      <c r="AA4">
        <v>1881.794248274</v>
      </c>
      <c r="AB4">
        <v>1826.06898851541</v>
      </c>
      <c r="AC4">
        <v>1862.8750348645899</v>
      </c>
      <c r="AD4">
        <v>1831.31939157229</v>
      </c>
      <c r="AE4">
        <v>1843.94630442323</v>
      </c>
    </row>
    <row r="5" spans="1:38" x14ac:dyDescent="0.35">
      <c r="A5" t="s">
        <v>123</v>
      </c>
      <c r="E5">
        <v>1865.3886470735399</v>
      </c>
      <c r="F5">
        <v>1874.0404167894801</v>
      </c>
      <c r="G5">
        <v>1856.3327662316799</v>
      </c>
      <c r="H5">
        <v>1885.4624018517</v>
      </c>
      <c r="I5">
        <v>1.29279358579657E-2</v>
      </c>
      <c r="J5">
        <v>1.8823010339176799E-2</v>
      </c>
      <c r="K5">
        <v>1889.0157121982099</v>
      </c>
      <c r="L5">
        <v>1859.0491138586899</v>
      </c>
      <c r="M5">
        <v>1867.42812205976</v>
      </c>
      <c r="N5">
        <v>1871.4845361769301</v>
      </c>
      <c r="O5">
        <v>1873.1390918111799</v>
      </c>
      <c r="P5">
        <v>1880.9752969216399</v>
      </c>
      <c r="Q5">
        <v>1884.19786787629</v>
      </c>
      <c r="R5">
        <v>1854.59069715897</v>
      </c>
      <c r="S5">
        <v>1875.30310983206</v>
      </c>
      <c r="T5">
        <v>1863.52124579007</v>
      </c>
      <c r="U5">
        <v>1875.9817060448099</v>
      </c>
      <c r="V5">
        <v>1859.4796326529199</v>
      </c>
      <c r="W5">
        <v>1872.03340314354</v>
      </c>
      <c r="X5">
        <v>1864.67744088674</v>
      </c>
      <c r="Y5">
        <v>1891.2069536889201</v>
      </c>
      <c r="Z5">
        <v>1877.80322180141</v>
      </c>
      <c r="AA5">
        <v>1864.7152313399399</v>
      </c>
      <c r="AB5">
        <v>1860.63952788245</v>
      </c>
      <c r="AC5">
        <v>1896.07561271336</v>
      </c>
      <c r="AD5">
        <v>1855.4095602176101</v>
      </c>
      <c r="AE5">
        <v>1871.07809004777</v>
      </c>
    </row>
    <row r="6" spans="1:38" ht="29" x14ac:dyDescent="0.35">
      <c r="B6" t="s">
        <v>125</v>
      </c>
      <c r="C6" t="s">
        <v>124</v>
      </c>
      <c r="D6" t="s">
        <v>90</v>
      </c>
      <c r="E6" s="19" t="s">
        <v>69</v>
      </c>
      <c r="F6" s="19" t="s">
        <v>70</v>
      </c>
      <c r="G6" s="19" t="s">
        <v>52</v>
      </c>
      <c r="H6" s="20" t="s">
        <v>51</v>
      </c>
      <c r="I6" s="21" t="s">
        <v>54</v>
      </c>
      <c r="J6" s="19" t="s">
        <v>71</v>
      </c>
      <c r="K6" s="21" t="s">
        <v>72</v>
      </c>
      <c r="L6" s="22" t="s">
        <v>73</v>
      </c>
      <c r="M6" s="21" t="s">
        <v>55</v>
      </c>
      <c r="N6" s="21" t="s">
        <v>56</v>
      </c>
      <c r="O6" s="19" t="s">
        <v>61</v>
      </c>
      <c r="P6" s="21" t="s">
        <v>57</v>
      </c>
      <c r="Q6" s="21" t="s">
        <v>58</v>
      </c>
      <c r="R6" s="19" t="s">
        <v>74</v>
      </c>
      <c r="S6" s="21" t="s">
        <v>59</v>
      </c>
      <c r="T6" s="19" t="s">
        <v>75</v>
      </c>
      <c r="U6" s="19" t="s">
        <v>76</v>
      </c>
      <c r="V6" s="21" t="s">
        <v>77</v>
      </c>
      <c r="W6" s="21" t="s">
        <v>78</v>
      </c>
      <c r="X6" s="11" t="s">
        <v>64</v>
      </c>
      <c r="Y6" s="11" t="s">
        <v>65</v>
      </c>
      <c r="Z6" s="11" t="s">
        <v>66</v>
      </c>
      <c r="AA6" s="19" t="s">
        <v>79</v>
      </c>
      <c r="AB6" s="19" t="s">
        <v>80</v>
      </c>
      <c r="AC6" s="19" t="s">
        <v>81</v>
      </c>
      <c r="AD6" s="19" t="s">
        <v>82</v>
      </c>
      <c r="AE6" s="19" t="s">
        <v>53</v>
      </c>
      <c r="AF6" s="21" t="s">
        <v>83</v>
      </c>
      <c r="AG6" s="21" t="s">
        <v>84</v>
      </c>
      <c r="AH6" s="21" t="s">
        <v>85</v>
      </c>
      <c r="AI6" s="11" t="s">
        <v>67</v>
      </c>
      <c r="AJ6" s="11" t="s">
        <v>60</v>
      </c>
      <c r="AK6" s="8" t="s">
        <v>89</v>
      </c>
      <c r="AL6" s="8" t="s">
        <v>90</v>
      </c>
    </row>
    <row r="7" spans="1:38" x14ac:dyDescent="0.35">
      <c r="B7">
        <v>1848.42189898522</v>
      </c>
      <c r="C7">
        <v>1855.80713418352</v>
      </c>
      <c r="D7">
        <v>1844.7292813860699</v>
      </c>
      <c r="E7">
        <v>1838.59716415761</v>
      </c>
      <c r="F7">
        <v>1848.6696225901701</v>
      </c>
      <c r="G7">
        <v>1835.81627000564</v>
      </c>
      <c r="H7">
        <v>1865.0824507857701</v>
      </c>
      <c r="I7">
        <v>1865.0824507857701</v>
      </c>
      <c r="J7">
        <v>1834.7525070317199</v>
      </c>
      <c r="K7">
        <v>1839.73672623168</v>
      </c>
      <c r="L7">
        <v>1851.4524394119401</v>
      </c>
      <c r="M7">
        <v>1847.4928747194199</v>
      </c>
      <c r="N7">
        <v>1837.53413085545</v>
      </c>
      <c r="O7">
        <v>1838.9100811963899</v>
      </c>
      <c r="P7">
        <v>1875.31528009469</v>
      </c>
      <c r="Q7">
        <v>1866.8290528223099</v>
      </c>
      <c r="R7">
        <v>1846.4497164419399</v>
      </c>
      <c r="S7">
        <v>1822.02337354919</v>
      </c>
      <c r="T7">
        <v>1845.88415222973</v>
      </c>
      <c r="U7">
        <v>1830.89954046458</v>
      </c>
      <c r="V7">
        <v>1846.5512657839599</v>
      </c>
      <c r="W7">
        <v>1838.3597622710399</v>
      </c>
      <c r="X7">
        <v>1897.21364878035</v>
      </c>
      <c r="Y7">
        <v>1815.9138438575701</v>
      </c>
      <c r="Z7">
        <v>1814.40061958669</v>
      </c>
      <c r="AA7">
        <v>1839.73672623168</v>
      </c>
      <c r="AB7">
        <v>1840.59640676087</v>
      </c>
      <c r="AC7">
        <v>1858.4769001227401</v>
      </c>
      <c r="AD7">
        <v>1860.11787487779</v>
      </c>
      <c r="AE7">
        <v>1881.794248274</v>
      </c>
      <c r="AF7">
        <v>1826.06898851541</v>
      </c>
      <c r="AG7">
        <v>1862.8750348645899</v>
      </c>
      <c r="AH7">
        <v>1831.31939157229</v>
      </c>
      <c r="AJ7">
        <v>1843.94630442323</v>
      </c>
    </row>
    <row r="8" spans="1:38" x14ac:dyDescent="0.35">
      <c r="B8">
        <v>1871.4805230464301</v>
      </c>
      <c r="C8">
        <v>1878.3297323553099</v>
      </c>
      <c r="D8">
        <v>1868.05591839199</v>
      </c>
      <c r="E8">
        <v>1865.3886470735399</v>
      </c>
      <c r="F8">
        <v>1874.0404167894801</v>
      </c>
      <c r="G8">
        <v>1856.3327662316799</v>
      </c>
      <c r="H8">
        <v>1885.4624018517</v>
      </c>
      <c r="I8">
        <v>1885.4624018517</v>
      </c>
      <c r="J8">
        <v>1869.6151530848099</v>
      </c>
      <c r="K8">
        <v>1872.03340314354</v>
      </c>
      <c r="L8">
        <v>1889.0157121982099</v>
      </c>
      <c r="M8">
        <v>1859.0491138586899</v>
      </c>
      <c r="N8">
        <v>1867.42812205976</v>
      </c>
      <c r="O8">
        <v>1871.4845361769301</v>
      </c>
      <c r="P8">
        <v>1884.19786787629</v>
      </c>
      <c r="Q8">
        <v>1880.9752969216399</v>
      </c>
      <c r="R8">
        <v>1873.1390918111799</v>
      </c>
      <c r="S8">
        <v>1854.59069715897</v>
      </c>
      <c r="T8">
        <v>1875.30310983206</v>
      </c>
      <c r="U8">
        <v>1863.52124579007</v>
      </c>
      <c r="V8">
        <v>1875.9817060448099</v>
      </c>
      <c r="W8">
        <v>1859.4796326529199</v>
      </c>
      <c r="X8">
        <v>1922.28119046149</v>
      </c>
      <c r="Y8">
        <v>1868.5936845000999</v>
      </c>
      <c r="Z8">
        <v>1834.3782742491301</v>
      </c>
      <c r="AA8">
        <v>1872.03340314354</v>
      </c>
      <c r="AB8">
        <v>1864.67744088674</v>
      </c>
      <c r="AC8">
        <v>1891.2069536889201</v>
      </c>
      <c r="AD8">
        <v>1877.80322180141</v>
      </c>
      <c r="AE8">
        <v>1864.7152313399399</v>
      </c>
      <c r="AF8">
        <v>1860.63952788245</v>
      </c>
      <c r="AG8">
        <v>1896.07561271336</v>
      </c>
      <c r="AH8">
        <v>1855.4095602176101</v>
      </c>
      <c r="AJ8">
        <v>1871.07809004777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5"/>
  <sheetViews>
    <sheetView zoomScale="116" zoomScaleNormal="116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D60" sqref="D60"/>
    </sheetView>
  </sheetViews>
  <sheetFormatPr defaultRowHeight="14.5" x14ac:dyDescent="0.35"/>
  <cols>
    <col min="2" max="2" width="14.81640625" bestFit="1" customWidth="1"/>
    <col min="3" max="3" width="25.6328125" customWidth="1"/>
    <col min="4" max="4" width="16.6328125" customWidth="1"/>
    <col min="5" max="5" width="20.1796875" customWidth="1"/>
  </cols>
  <sheetData>
    <row r="1" spans="1:6" x14ac:dyDescent="0.35">
      <c r="B1" t="s">
        <v>188</v>
      </c>
      <c r="C1" t="s">
        <v>225</v>
      </c>
      <c r="D1" t="s">
        <v>189</v>
      </c>
      <c r="E1" t="s">
        <v>227</v>
      </c>
      <c r="F1" t="s">
        <v>226</v>
      </c>
    </row>
    <row r="2" spans="1:6" x14ac:dyDescent="0.35">
      <c r="A2" t="s">
        <v>10</v>
      </c>
      <c r="B2" s="17">
        <v>813</v>
      </c>
      <c r="C2" s="9"/>
      <c r="D2" s="17">
        <v>827.02163477401996</v>
      </c>
    </row>
    <row r="3" spans="1:6" x14ac:dyDescent="0.35">
      <c r="A3" t="s">
        <v>11</v>
      </c>
      <c r="B3" s="18">
        <v>873</v>
      </c>
      <c r="C3" s="9"/>
      <c r="D3" s="18">
        <v>883.68541288871302</v>
      </c>
      <c r="E3" s="1">
        <f>(D3/D2)^4-1</f>
        <v>0.30353669508622727</v>
      </c>
    </row>
    <row r="4" spans="1:6" x14ac:dyDescent="0.35">
      <c r="A4" t="s">
        <v>12</v>
      </c>
      <c r="B4" s="18">
        <v>959</v>
      </c>
      <c r="C4" s="9"/>
      <c r="D4" s="18">
        <v>946.22917126040602</v>
      </c>
      <c r="E4" s="1">
        <f t="shared" ref="E4:E67" si="0">(D4/D3)^4-1</f>
        <v>0.31460290206572572</v>
      </c>
    </row>
    <row r="5" spans="1:6" x14ac:dyDescent="0.35">
      <c r="A5" t="s">
        <v>13</v>
      </c>
      <c r="B5" s="18">
        <v>961</v>
      </c>
      <c r="C5" s="9"/>
      <c r="D5" s="18">
        <v>947.36703705268803</v>
      </c>
      <c r="E5" s="1">
        <f>(D5/D4)^4-1</f>
        <v>4.8187899664751122E-3</v>
      </c>
    </row>
    <row r="6" spans="1:6" x14ac:dyDescent="0.35">
      <c r="A6" t="s">
        <v>14</v>
      </c>
      <c r="B6" s="18">
        <v>922</v>
      </c>
      <c r="C6" s="1">
        <f>B6/B2-1</f>
        <v>0.13407134071340709</v>
      </c>
      <c r="D6" s="18">
        <v>935.98877123602495</v>
      </c>
      <c r="E6" s="1">
        <f t="shared" si="0"/>
        <v>-4.718304657883865E-2</v>
      </c>
      <c r="F6" s="1">
        <f>D6/D2-1</f>
        <v>0.13175850773454045</v>
      </c>
    </row>
    <row r="7" spans="1:6" x14ac:dyDescent="0.35">
      <c r="A7" t="s">
        <v>15</v>
      </c>
      <c r="B7" s="18">
        <v>941</v>
      </c>
      <c r="C7" s="1">
        <f t="shared" ref="C7:C37" si="1">B7/B3-1</f>
        <v>7.7892325315005673E-2</v>
      </c>
      <c r="D7" s="18">
        <v>952.93075733893397</v>
      </c>
      <c r="E7" s="1">
        <f t="shared" si="0"/>
        <v>7.4392144136962823E-2</v>
      </c>
      <c r="F7" s="1">
        <f t="shared" ref="F7:F70" si="2">D7/D3-1</f>
        <v>7.8359723313596641E-2</v>
      </c>
    </row>
    <row r="8" spans="1:6" x14ac:dyDescent="0.35">
      <c r="A8" t="s">
        <v>16</v>
      </c>
      <c r="B8" s="18">
        <v>994</v>
      </c>
      <c r="C8" s="1">
        <f t="shared" si="1"/>
        <v>3.649635036496357E-2</v>
      </c>
      <c r="D8" s="18">
        <v>982.12080323605801</v>
      </c>
      <c r="E8" s="1">
        <f t="shared" si="0"/>
        <v>0.12827317431863983</v>
      </c>
      <c r="F8" s="1">
        <f t="shared" si="2"/>
        <v>3.7931225400547719E-2</v>
      </c>
    </row>
    <row r="9" spans="1:6" x14ac:dyDescent="0.35">
      <c r="A9" t="s">
        <v>17</v>
      </c>
      <c r="B9" s="18">
        <v>1024</v>
      </c>
      <c r="C9" s="1">
        <f t="shared" si="1"/>
        <v>6.5556711758584907E-2</v>
      </c>
      <c r="D9" s="18">
        <v>1009.66156258066</v>
      </c>
      <c r="E9" s="1">
        <f t="shared" si="0"/>
        <v>0.11697551011170582</v>
      </c>
      <c r="F9" s="1">
        <f t="shared" si="2"/>
        <v>6.5755428563119223E-2</v>
      </c>
    </row>
    <row r="10" spans="1:6" x14ac:dyDescent="0.35">
      <c r="A10" t="s">
        <v>18</v>
      </c>
      <c r="B10" s="18">
        <v>1009</v>
      </c>
      <c r="C10" s="1">
        <f t="shared" si="1"/>
        <v>9.4360086767895979E-2</v>
      </c>
      <c r="D10" s="18">
        <v>1020.97459091698</v>
      </c>
      <c r="E10" s="1">
        <f t="shared" si="0"/>
        <v>4.5578015145885553E-2</v>
      </c>
      <c r="F10" s="1">
        <f t="shared" si="2"/>
        <v>9.0797905159403225E-2</v>
      </c>
    </row>
    <row r="11" spans="1:6" x14ac:dyDescent="0.35">
      <c r="A11" t="s">
        <v>19</v>
      </c>
      <c r="B11" s="18">
        <v>1067</v>
      </c>
      <c r="C11" s="1">
        <f t="shared" si="1"/>
        <v>0.13390010626992566</v>
      </c>
      <c r="D11" s="18">
        <v>1082.34384583461</v>
      </c>
      <c r="E11" s="1">
        <f t="shared" si="0"/>
        <v>0.26299395767443356</v>
      </c>
      <c r="F11" s="1">
        <f t="shared" si="2"/>
        <v>0.13580534314692816</v>
      </c>
    </row>
    <row r="12" spans="1:6" x14ac:dyDescent="0.35">
      <c r="A12" t="s">
        <v>20</v>
      </c>
      <c r="B12" s="18">
        <v>1112</v>
      </c>
      <c r="C12" s="1">
        <f t="shared" si="1"/>
        <v>0.11871227364185111</v>
      </c>
      <c r="D12" s="18">
        <v>1100.1304025634699</v>
      </c>
      <c r="E12" s="1">
        <f t="shared" si="0"/>
        <v>6.7371637915877747E-2</v>
      </c>
      <c r="F12" s="1">
        <f t="shared" si="2"/>
        <v>0.12015792653874535</v>
      </c>
    </row>
    <row r="13" spans="1:6" x14ac:dyDescent="0.35">
      <c r="A13" t="s">
        <v>21</v>
      </c>
      <c r="B13" s="18">
        <v>1126</v>
      </c>
      <c r="C13" s="1">
        <f t="shared" si="1"/>
        <v>9.9609375E-2</v>
      </c>
      <c r="D13" s="18">
        <v>1111.12169720518</v>
      </c>
      <c r="E13" s="1">
        <f t="shared" si="0"/>
        <v>4.0566514303509438E-2</v>
      </c>
      <c r="F13" s="1">
        <f t="shared" si="2"/>
        <v>0.10048925143311527</v>
      </c>
    </row>
    <row r="14" spans="1:6" x14ac:dyDescent="0.35">
      <c r="A14" t="s">
        <v>22</v>
      </c>
      <c r="B14" s="18">
        <v>1132</v>
      </c>
      <c r="C14" s="1">
        <f t="shared" si="1"/>
        <v>0.12190287413280476</v>
      </c>
      <c r="D14" s="18">
        <v>1140.8868221621201</v>
      </c>
      <c r="E14" s="1">
        <f t="shared" si="0"/>
        <v>0.11153653543946263</v>
      </c>
      <c r="F14" s="1">
        <f t="shared" si="2"/>
        <v>0.11744879090227101</v>
      </c>
    </row>
    <row r="15" spans="1:6" x14ac:dyDescent="0.35">
      <c r="A15" t="s">
        <v>23</v>
      </c>
      <c r="B15" s="18">
        <v>1120</v>
      </c>
      <c r="C15" s="1">
        <f t="shared" si="1"/>
        <v>4.9671977507029119E-2</v>
      </c>
      <c r="D15" s="18">
        <v>1138.29109021922</v>
      </c>
      <c r="E15" s="1">
        <f t="shared" si="0"/>
        <v>-9.0697399767574183E-3</v>
      </c>
      <c r="F15" s="1">
        <f t="shared" si="2"/>
        <v>5.1690823207359182E-2</v>
      </c>
    </row>
    <row r="16" spans="1:6" x14ac:dyDescent="0.35">
      <c r="A16" t="s">
        <v>24</v>
      </c>
      <c r="B16" s="18">
        <v>1151</v>
      </c>
      <c r="C16" s="1">
        <f t="shared" si="1"/>
        <v>3.5071942446043058E-2</v>
      </c>
      <c r="D16" s="18">
        <v>1140.01505474038</v>
      </c>
      <c r="E16" s="1">
        <f t="shared" si="0"/>
        <v>6.071856170268175E-3</v>
      </c>
      <c r="F16" s="1">
        <f t="shared" si="2"/>
        <v>3.6254476818359693E-2</v>
      </c>
    </row>
    <row r="17" spans="1:6" x14ac:dyDescent="0.35">
      <c r="A17" t="s">
        <v>25</v>
      </c>
      <c r="B17" s="18">
        <v>1179</v>
      </c>
      <c r="C17" s="1">
        <f t="shared" si="1"/>
        <v>4.7069271758436892E-2</v>
      </c>
      <c r="D17" s="18">
        <v>1164.07776122215</v>
      </c>
      <c r="E17" s="1">
        <f t="shared" si="0"/>
        <v>8.7140371133325623E-2</v>
      </c>
      <c r="F17" s="1">
        <f t="shared" si="2"/>
        <v>4.7660003535320294E-2</v>
      </c>
    </row>
    <row r="18" spans="1:6" x14ac:dyDescent="0.35">
      <c r="A18" t="s">
        <v>26</v>
      </c>
      <c r="B18" s="18">
        <v>1190</v>
      </c>
      <c r="C18" s="1">
        <f t="shared" si="1"/>
        <v>5.1236749116607694E-2</v>
      </c>
      <c r="D18" s="18">
        <v>1195.8601187870599</v>
      </c>
      <c r="E18" s="1">
        <f t="shared" si="0"/>
        <v>0.11376498649897848</v>
      </c>
      <c r="F18" s="1">
        <f t="shared" si="2"/>
        <v>4.8184706455596249E-2</v>
      </c>
    </row>
    <row r="19" spans="1:6" x14ac:dyDescent="0.35">
      <c r="A19" t="s">
        <v>27</v>
      </c>
      <c r="B19" s="18">
        <v>1192</v>
      </c>
      <c r="C19" s="1">
        <f t="shared" si="1"/>
        <v>6.4285714285714279E-2</v>
      </c>
      <c r="D19" s="18">
        <v>1212.3381997787201</v>
      </c>
      <c r="E19" s="1">
        <f t="shared" si="0"/>
        <v>5.6266796067045988E-2</v>
      </c>
      <c r="F19" s="1">
        <f t="shared" si="2"/>
        <v>6.5051119345262975E-2</v>
      </c>
    </row>
    <row r="20" spans="1:6" x14ac:dyDescent="0.35">
      <c r="A20" t="s">
        <v>28</v>
      </c>
      <c r="B20" s="18">
        <v>1244</v>
      </c>
      <c r="C20" s="1">
        <f t="shared" si="1"/>
        <v>8.0799304952215545E-2</v>
      </c>
      <c r="D20" s="18">
        <v>1233.9242779563001</v>
      </c>
      <c r="E20" s="1">
        <f t="shared" si="0"/>
        <v>7.3146166126732304E-2</v>
      </c>
      <c r="F20" s="1">
        <f t="shared" si="2"/>
        <v>8.2375423750264742E-2</v>
      </c>
    </row>
    <row r="21" spans="1:6" x14ac:dyDescent="0.35">
      <c r="A21" t="s">
        <v>29</v>
      </c>
      <c r="B21" s="18">
        <v>1294</v>
      </c>
      <c r="C21" s="1">
        <f t="shared" si="1"/>
        <v>9.7540288379982965E-2</v>
      </c>
      <c r="D21" s="18">
        <v>1277.87514305942</v>
      </c>
      <c r="E21" s="1">
        <f t="shared" si="0"/>
        <v>0.15026962810115929</v>
      </c>
      <c r="F21" s="1">
        <f t="shared" si="2"/>
        <v>9.7757543033719418E-2</v>
      </c>
    </row>
    <row r="22" spans="1:6" x14ac:dyDescent="0.35">
      <c r="A22" t="s">
        <v>30</v>
      </c>
      <c r="B22" s="18">
        <v>1291</v>
      </c>
      <c r="C22" s="1">
        <f t="shared" si="1"/>
        <v>8.4873949579831853E-2</v>
      </c>
      <c r="D22" s="18">
        <v>1296.01566372914</v>
      </c>
      <c r="E22" s="1">
        <f t="shared" si="0"/>
        <v>5.8004006284180898E-2</v>
      </c>
      <c r="F22" s="1">
        <f t="shared" si="2"/>
        <v>8.3751889847841099E-2</v>
      </c>
    </row>
    <row r="23" spans="1:6" x14ac:dyDescent="0.35">
      <c r="A23" t="s">
        <v>31</v>
      </c>
      <c r="B23" s="18">
        <v>1263</v>
      </c>
      <c r="C23" s="1">
        <f t="shared" si="1"/>
        <v>5.9563758389261645E-2</v>
      </c>
      <c r="D23" s="18">
        <v>1283.51309064779</v>
      </c>
      <c r="E23" s="1">
        <f t="shared" si="0"/>
        <v>-3.8032924969548021E-2</v>
      </c>
      <c r="F23" s="1">
        <f t="shared" si="2"/>
        <v>5.8708775226303134E-2</v>
      </c>
    </row>
    <row r="24" spans="1:6" x14ac:dyDescent="0.35">
      <c r="A24" t="s">
        <v>32</v>
      </c>
      <c r="B24" s="18">
        <v>1372</v>
      </c>
      <c r="C24" s="1">
        <f t="shared" si="1"/>
        <v>0.10289389067524124</v>
      </c>
      <c r="D24" s="18">
        <v>1362.10918744781</v>
      </c>
      <c r="E24" s="1">
        <f t="shared" si="0"/>
        <v>0.26837151272466109</v>
      </c>
      <c r="F24" s="1">
        <f t="shared" si="2"/>
        <v>0.10388393500435655</v>
      </c>
    </row>
    <row r="25" spans="1:6" x14ac:dyDescent="0.35">
      <c r="A25" t="s">
        <v>33</v>
      </c>
      <c r="B25" s="18">
        <v>1385</v>
      </c>
      <c r="C25" s="1">
        <f t="shared" si="1"/>
        <v>7.0324574961360131E-2</v>
      </c>
      <c r="D25" s="18">
        <v>1368.4059873896199</v>
      </c>
      <c r="E25" s="1">
        <f t="shared" si="0"/>
        <v>1.8619941133842133E-2</v>
      </c>
      <c r="F25" s="1">
        <f t="shared" si="2"/>
        <v>7.0844827698468116E-2</v>
      </c>
    </row>
    <row r="26" spans="1:6" x14ac:dyDescent="0.35">
      <c r="A26" t="s">
        <v>34</v>
      </c>
      <c r="B26" s="18">
        <v>1399</v>
      </c>
      <c r="C26" s="1">
        <f t="shared" si="1"/>
        <v>8.3656080557707124E-2</v>
      </c>
      <c r="D26" s="18">
        <v>1405.3756364037899</v>
      </c>
      <c r="E26" s="1">
        <f t="shared" si="0"/>
        <v>0.1125251008620658</v>
      </c>
      <c r="F26" s="1">
        <f t="shared" si="2"/>
        <v>8.4381675110298371E-2</v>
      </c>
    </row>
    <row r="27" spans="1:6" x14ac:dyDescent="0.35">
      <c r="A27" t="s">
        <v>35</v>
      </c>
      <c r="B27" s="18">
        <v>1398</v>
      </c>
      <c r="C27" s="1">
        <f t="shared" si="1"/>
        <v>0.10688836104513055</v>
      </c>
      <c r="D27" s="18">
        <v>1504.5229999999999</v>
      </c>
      <c r="E27" s="1">
        <f t="shared" si="0"/>
        <v>0.31348659177065707</v>
      </c>
      <c r="F27" s="1">
        <f t="shared" si="2"/>
        <v>0.17219139482299006</v>
      </c>
    </row>
    <row r="28" spans="1:6" x14ac:dyDescent="0.35">
      <c r="A28" t="s">
        <v>36</v>
      </c>
      <c r="B28" s="18">
        <v>1471</v>
      </c>
      <c r="C28" s="1">
        <f t="shared" si="1"/>
        <v>7.2157434402332354E-2</v>
      </c>
      <c r="D28" s="18">
        <v>1531.9760000000001</v>
      </c>
      <c r="E28" s="1">
        <f t="shared" si="0"/>
        <v>7.5010042965263812E-2</v>
      </c>
      <c r="F28" s="1">
        <f t="shared" si="2"/>
        <v>0.12470866074288089</v>
      </c>
    </row>
    <row r="29" spans="1:6" x14ac:dyDescent="0.35">
      <c r="A29" t="s">
        <v>37</v>
      </c>
      <c r="B29" s="18">
        <v>1502</v>
      </c>
      <c r="C29" s="1">
        <f t="shared" si="1"/>
        <v>8.4476534296028971E-2</v>
      </c>
      <c r="D29" s="18">
        <v>1561.441</v>
      </c>
      <c r="E29" s="1">
        <f t="shared" si="0"/>
        <v>7.9181442098580357E-2</v>
      </c>
      <c r="F29" s="1">
        <f t="shared" si="2"/>
        <v>0.14106560069838259</v>
      </c>
    </row>
    <row r="30" spans="1:6" x14ac:dyDescent="0.35">
      <c r="A30" t="s">
        <v>38</v>
      </c>
      <c r="B30" s="18">
        <v>1465</v>
      </c>
      <c r="C30" s="1">
        <f t="shared" si="1"/>
        <v>4.7176554681915617E-2</v>
      </c>
      <c r="D30" s="18">
        <v>1582.357</v>
      </c>
      <c r="E30" s="1">
        <f t="shared" si="0"/>
        <v>5.4667529171080087E-2</v>
      </c>
      <c r="F30" s="1">
        <f t="shared" si="2"/>
        <v>0.12593171463331099</v>
      </c>
    </row>
    <row r="31" spans="1:6" x14ac:dyDescent="0.35">
      <c r="A31" t="s">
        <v>39</v>
      </c>
      <c r="B31" s="18">
        <v>1510.32</v>
      </c>
      <c r="C31" s="1">
        <f t="shared" si="1"/>
        <v>8.034334763948503E-2</v>
      </c>
      <c r="D31" s="18">
        <v>1513.69</v>
      </c>
      <c r="E31" s="1">
        <f t="shared" si="0"/>
        <v>-0.16260593821373104</v>
      </c>
      <c r="F31" s="1">
        <f t="shared" si="2"/>
        <v>6.0929610248565691E-3</v>
      </c>
    </row>
    <row r="32" spans="1:6" x14ac:dyDescent="0.35">
      <c r="A32" t="s">
        <v>40</v>
      </c>
      <c r="B32" s="18">
        <v>1536.5519999999999</v>
      </c>
      <c r="C32" s="1">
        <f t="shared" si="1"/>
        <v>4.4562882392929826E-2</v>
      </c>
      <c r="D32" s="18">
        <v>1529.212</v>
      </c>
      <c r="E32" s="1">
        <f t="shared" si="0"/>
        <v>4.1652887524289861E-2</v>
      </c>
      <c r="F32" s="1">
        <f t="shared" si="2"/>
        <v>-1.8042058100127267E-3</v>
      </c>
    </row>
    <row r="33" spans="1:6" x14ac:dyDescent="0.35">
      <c r="A33" t="s">
        <v>41</v>
      </c>
      <c r="B33" s="18">
        <v>1554.2650000000001</v>
      </c>
      <c r="C33" s="1">
        <f t="shared" si="1"/>
        <v>3.4796937416777807E-2</v>
      </c>
      <c r="D33" s="18">
        <v>1549.6569999999999</v>
      </c>
      <c r="E33" s="1">
        <f t="shared" si="0"/>
        <v>5.4560596838827857E-2</v>
      </c>
      <c r="F33" s="1">
        <f t="shared" si="2"/>
        <v>-7.5468749699797444E-3</v>
      </c>
    </row>
    <row r="34" spans="1:6" x14ac:dyDescent="0.35">
      <c r="A34" t="s">
        <v>42</v>
      </c>
      <c r="B34" s="18">
        <v>1562.7940000000001</v>
      </c>
      <c r="C34" s="1">
        <f t="shared" si="1"/>
        <v>6.6753583617747525E-2</v>
      </c>
      <c r="D34" s="18">
        <v>1571.279</v>
      </c>
      <c r="E34" s="1">
        <f t="shared" si="0"/>
        <v>5.6990041214948661E-2</v>
      </c>
      <c r="F34" s="1">
        <f t="shared" si="2"/>
        <v>-7.0009485849273911E-3</v>
      </c>
    </row>
    <row r="35" spans="1:6" x14ac:dyDescent="0.35">
      <c r="A35" t="s">
        <v>43</v>
      </c>
      <c r="B35" s="18">
        <v>1600.4590000000001</v>
      </c>
      <c r="C35" s="1">
        <f t="shared" si="1"/>
        <v>5.9682054134223339E-2</v>
      </c>
      <c r="D35" s="18">
        <v>1604.297</v>
      </c>
      <c r="E35" s="1">
        <f t="shared" si="0"/>
        <v>8.6740520461116688E-2</v>
      </c>
      <c r="F35" s="1">
        <f t="shared" si="2"/>
        <v>5.9858359373451631E-2</v>
      </c>
    </row>
    <row r="36" spans="1:6" x14ac:dyDescent="0.35">
      <c r="A36" t="s">
        <v>44</v>
      </c>
      <c r="B36" s="18">
        <v>1648.1980000000001</v>
      </c>
      <c r="C36" s="1">
        <f t="shared" si="1"/>
        <v>7.2660085698369015E-2</v>
      </c>
      <c r="D36" s="18">
        <v>1640.4480000000001</v>
      </c>
      <c r="E36" s="1">
        <f t="shared" si="0"/>
        <v>9.3228104770318065E-2</v>
      </c>
      <c r="F36" s="1">
        <f t="shared" si="2"/>
        <v>7.2740731827895644E-2</v>
      </c>
    </row>
    <row r="37" spans="1:6" ht="15" thickBot="1" x14ac:dyDescent="0.4">
      <c r="A37" t="s">
        <v>45</v>
      </c>
      <c r="B37" s="18">
        <v>1666.9860000000001</v>
      </c>
      <c r="C37" s="1">
        <f t="shared" si="1"/>
        <v>7.2523668743746939E-2</v>
      </c>
      <c r="D37" s="18">
        <v>1662.08</v>
      </c>
      <c r="E37" s="1">
        <f t="shared" si="0"/>
        <v>5.379909411363859E-2</v>
      </c>
      <c r="F37" s="1">
        <f t="shared" si="2"/>
        <v>7.2547021695768876E-2</v>
      </c>
    </row>
    <row r="38" spans="1:6" x14ac:dyDescent="0.35">
      <c r="A38" t="s">
        <v>0</v>
      </c>
      <c r="B38" s="39">
        <v>1678.537</v>
      </c>
      <c r="C38" s="1">
        <f>B38/B34-1</f>
        <v>7.4061584572246764E-2</v>
      </c>
      <c r="D38" s="18">
        <v>1686.7819999999999</v>
      </c>
      <c r="E38" s="1">
        <f t="shared" si="0"/>
        <v>6.0786874062708662E-2</v>
      </c>
      <c r="F38" s="1">
        <f t="shared" si="2"/>
        <v>7.3508905802215807E-2</v>
      </c>
    </row>
    <row r="39" spans="1:6" x14ac:dyDescent="0.35">
      <c r="A39" t="s">
        <v>1</v>
      </c>
      <c r="B39" s="43">
        <v>1717.806</v>
      </c>
      <c r="C39" s="1">
        <f t="shared" ref="C39:C82" si="3">B39/B35-1</f>
        <v>7.3320841083714061E-2</v>
      </c>
      <c r="D39" s="18">
        <v>1722.768</v>
      </c>
      <c r="E39" s="1">
        <f t="shared" si="0"/>
        <v>8.8106371400052952E-2</v>
      </c>
      <c r="F39" s="1">
        <f t="shared" si="2"/>
        <v>7.3846052196070877E-2</v>
      </c>
    </row>
    <row r="40" spans="1:6" x14ac:dyDescent="0.35">
      <c r="A40" t="s">
        <v>2</v>
      </c>
      <c r="B40" s="43">
        <v>1757.771</v>
      </c>
      <c r="C40" s="1">
        <f t="shared" si="3"/>
        <v>6.6480483534138379E-2</v>
      </c>
      <c r="D40" s="18">
        <v>1749.8520000000001</v>
      </c>
      <c r="E40" s="1">
        <f t="shared" si="0"/>
        <v>6.4383388203045788E-2</v>
      </c>
      <c r="F40" s="1">
        <f t="shared" si="2"/>
        <v>6.6691537921348409E-2</v>
      </c>
    </row>
    <row r="41" spans="1:6" x14ac:dyDescent="0.35">
      <c r="A41" t="s">
        <v>3</v>
      </c>
      <c r="B41" s="43">
        <v>1791.9880000000001</v>
      </c>
      <c r="C41" s="1">
        <f t="shared" si="3"/>
        <v>7.4986832522888625E-2</v>
      </c>
      <c r="D41" s="18">
        <v>1786.471</v>
      </c>
      <c r="E41" s="1">
        <f t="shared" si="0"/>
        <v>8.6372115103175773E-2</v>
      </c>
      <c r="F41" s="1">
        <f t="shared" si="2"/>
        <v>7.4840561224489788E-2</v>
      </c>
    </row>
    <row r="42" spans="1:6" x14ac:dyDescent="0.35">
      <c r="A42" t="s">
        <v>4</v>
      </c>
      <c r="B42" s="43">
        <v>1809.7539999999999</v>
      </c>
      <c r="C42" s="1">
        <f t="shared" si="3"/>
        <v>7.8173433174246298E-2</v>
      </c>
      <c r="D42" s="18">
        <v>1817.325</v>
      </c>
      <c r="E42" s="1">
        <f t="shared" si="0"/>
        <v>7.0894089009159167E-2</v>
      </c>
      <c r="F42" s="1">
        <f t="shared" si="2"/>
        <v>7.7391743568522964E-2</v>
      </c>
    </row>
    <row r="43" spans="1:6" x14ac:dyDescent="0.35">
      <c r="A43" t="s">
        <v>5</v>
      </c>
      <c r="B43" s="43">
        <v>1830.06</v>
      </c>
      <c r="C43" s="1">
        <f t="shared" si="3"/>
        <v>6.5347309300351597E-2</v>
      </c>
      <c r="D43" s="18">
        <v>1836.365</v>
      </c>
      <c r="E43" s="1">
        <f t="shared" si="0"/>
        <v>4.2570958415992788E-2</v>
      </c>
      <c r="F43" s="1">
        <f t="shared" si="2"/>
        <v>6.5938652215504323E-2</v>
      </c>
    </row>
    <row r="44" spans="1:6" x14ac:dyDescent="0.35">
      <c r="A44" t="s">
        <v>6</v>
      </c>
      <c r="B44" s="43">
        <v>1871.701</v>
      </c>
      <c r="C44" s="1">
        <f t="shared" si="3"/>
        <v>6.4815041322220157E-2</v>
      </c>
      <c r="D44" s="18">
        <v>1864.606</v>
      </c>
      <c r="E44" s="1">
        <f t="shared" si="0"/>
        <v>6.2948644312764479E-2</v>
      </c>
      <c r="F44" s="1">
        <f t="shared" si="2"/>
        <v>6.5579260417452323E-2</v>
      </c>
    </row>
    <row r="45" spans="1:6" x14ac:dyDescent="0.35">
      <c r="A45" t="s">
        <v>7</v>
      </c>
      <c r="B45" s="43">
        <v>1888.271</v>
      </c>
      <c r="C45" s="1">
        <f t="shared" si="3"/>
        <v>5.37297124757532E-2</v>
      </c>
      <c r="D45" s="18">
        <v>1880.952</v>
      </c>
      <c r="E45" s="1">
        <f t="shared" si="0"/>
        <v>3.5529659070775876E-2</v>
      </c>
      <c r="F45" s="1">
        <f t="shared" si="2"/>
        <v>5.2886948626649888E-2</v>
      </c>
    </row>
    <row r="46" spans="1:6" x14ac:dyDescent="0.35">
      <c r="A46" t="s">
        <v>9</v>
      </c>
      <c r="B46" s="43">
        <v>1904.414</v>
      </c>
      <c r="C46" s="1">
        <f t="shared" si="3"/>
        <v>5.2305451459148555E-2</v>
      </c>
      <c r="D46" s="18">
        <v>1911.0050000000001</v>
      </c>
      <c r="E46" s="1">
        <f t="shared" si="0"/>
        <v>6.5458262603036221E-2</v>
      </c>
      <c r="F46" s="1">
        <f t="shared" si="2"/>
        <v>5.1548292132667539E-2</v>
      </c>
    </row>
    <row r="47" spans="1:6" x14ac:dyDescent="0.35">
      <c r="A47" t="s">
        <v>46</v>
      </c>
      <c r="B47" s="43">
        <v>1941.154</v>
      </c>
      <c r="C47" s="1">
        <f t="shared" si="3"/>
        <v>6.0705113493546792E-2</v>
      </c>
      <c r="D47" s="18">
        <v>1949.81</v>
      </c>
      <c r="E47" s="1">
        <f t="shared" si="0"/>
        <v>8.3731957737041451E-2</v>
      </c>
      <c r="F47" s="1">
        <f t="shared" si="2"/>
        <v>6.1776934324058619E-2</v>
      </c>
    </row>
    <row r="48" spans="1:6" x14ac:dyDescent="0.35">
      <c r="A48" t="s">
        <v>47</v>
      </c>
      <c r="B48" s="49">
        <v>1989.741</v>
      </c>
      <c r="C48" s="1">
        <f t="shared" si="3"/>
        <v>6.3065628537891438E-2</v>
      </c>
      <c r="D48" s="18">
        <v>1983.742</v>
      </c>
      <c r="E48" s="1">
        <f t="shared" si="0"/>
        <v>7.1449187118416191E-2</v>
      </c>
      <c r="F48" s="1">
        <f t="shared" si="2"/>
        <v>6.3893390882577838E-2</v>
      </c>
    </row>
    <row r="49" spans="1:6" x14ac:dyDescent="0.35">
      <c r="A49" t="s">
        <v>48</v>
      </c>
      <c r="B49" s="49">
        <v>2023.2170000000001</v>
      </c>
      <c r="C49" s="1">
        <f t="shared" si="3"/>
        <v>7.1465377586162226E-2</v>
      </c>
      <c r="D49" s="18">
        <v>2012.2460000000001</v>
      </c>
      <c r="E49" s="1">
        <f t="shared" si="0"/>
        <v>5.8725900308011614E-2</v>
      </c>
      <c r="F49" s="1">
        <f t="shared" si="2"/>
        <v>6.9801887554812758E-2</v>
      </c>
    </row>
    <row r="50" spans="1:6" x14ac:dyDescent="0.35">
      <c r="A50" t="s">
        <v>49</v>
      </c>
      <c r="B50" s="49">
        <v>2050.1880000000001</v>
      </c>
      <c r="C50" s="1">
        <f t="shared" si="3"/>
        <v>7.6545331004708173E-2</v>
      </c>
      <c r="D50" s="18">
        <v>2057.6379999999999</v>
      </c>
      <c r="E50" s="1">
        <f t="shared" si="0"/>
        <v>9.3330833589954754E-2</v>
      </c>
      <c r="F50" s="1">
        <f t="shared" si="2"/>
        <v>7.673083011295101E-2</v>
      </c>
    </row>
    <row r="51" spans="1:6" x14ac:dyDescent="0.35">
      <c r="A51" t="s">
        <v>50</v>
      </c>
      <c r="B51" s="49">
        <v>2064.259</v>
      </c>
      <c r="C51" s="1">
        <f t="shared" si="3"/>
        <v>6.3418461389462166E-2</v>
      </c>
      <c r="D51" s="18">
        <v>2074.3429999999998</v>
      </c>
      <c r="E51" s="1">
        <f t="shared" si="0"/>
        <v>3.2871736207965796E-2</v>
      </c>
      <c r="F51" s="1">
        <f t="shared" si="2"/>
        <v>6.3869300085649394E-2</v>
      </c>
    </row>
    <row r="52" spans="1:6" x14ac:dyDescent="0.35">
      <c r="A52" t="s">
        <v>68</v>
      </c>
      <c r="B52" s="49">
        <v>2109.7080000000001</v>
      </c>
      <c r="C52" s="1">
        <f t="shared" si="3"/>
        <v>6.0292771772808562E-2</v>
      </c>
      <c r="D52" s="18">
        <v>2105.7199999999998</v>
      </c>
      <c r="E52" s="1">
        <f t="shared" si="0"/>
        <v>6.1891654601485824E-2</v>
      </c>
      <c r="F52" s="1">
        <f t="shared" si="2"/>
        <v>6.1488842803146593E-2</v>
      </c>
    </row>
    <row r="53" spans="1:6" x14ac:dyDescent="0.35">
      <c r="A53" t="s">
        <v>91</v>
      </c>
      <c r="B53" s="49">
        <v>2156.761</v>
      </c>
      <c r="C53" s="1">
        <f t="shared" si="3"/>
        <v>6.6005771995786944E-2</v>
      </c>
      <c r="D53" s="18">
        <v>2140.759</v>
      </c>
      <c r="E53" s="1">
        <f t="shared" si="0"/>
        <v>6.823948316253059E-2</v>
      </c>
      <c r="F53" s="1">
        <f t="shared" si="2"/>
        <v>6.3865451838393428E-2</v>
      </c>
    </row>
    <row r="54" spans="1:6" x14ac:dyDescent="0.35">
      <c r="A54" t="s">
        <v>123</v>
      </c>
      <c r="B54" s="10">
        <v>2184.971</v>
      </c>
      <c r="C54" s="1">
        <f t="shared" si="3"/>
        <v>6.5741775876163588E-2</v>
      </c>
      <c r="D54" s="18">
        <v>2194.2489999999998</v>
      </c>
      <c r="E54" s="1">
        <f t="shared" si="0"/>
        <v>0.10375458926959635</v>
      </c>
      <c r="F54" s="1">
        <f t="shared" si="2"/>
        <v>6.6392144779596762E-2</v>
      </c>
    </row>
    <row r="55" spans="1:6" x14ac:dyDescent="0.35">
      <c r="A55" t="s">
        <v>126</v>
      </c>
      <c r="B55" s="10">
        <v>2229.623</v>
      </c>
      <c r="C55" s="1">
        <f t="shared" si="3"/>
        <v>8.0108164721578001E-2</v>
      </c>
      <c r="D55" s="18">
        <v>2241.6329999999998</v>
      </c>
      <c r="E55" s="1">
        <f t="shared" si="0"/>
        <v>8.9216995625491569E-2</v>
      </c>
      <c r="F55" s="1">
        <f t="shared" si="2"/>
        <v>8.0647221795045354E-2</v>
      </c>
    </row>
    <row r="56" spans="1:6" x14ac:dyDescent="0.35">
      <c r="A56" t="s">
        <v>128</v>
      </c>
      <c r="B56" s="10">
        <v>2275.3919999999998</v>
      </c>
      <c r="C56" s="1">
        <f t="shared" si="3"/>
        <v>7.85340909737271E-2</v>
      </c>
      <c r="D56" s="18">
        <v>2272.5500000000002</v>
      </c>
      <c r="E56" s="1">
        <f t="shared" si="0"/>
        <v>5.6320585147979996E-2</v>
      </c>
      <c r="F56" s="1">
        <f t="shared" si="2"/>
        <v>7.9227057728473049E-2</v>
      </c>
    </row>
    <row r="57" spans="1:6" x14ac:dyDescent="0.35">
      <c r="A57" t="s">
        <v>129</v>
      </c>
      <c r="B57" s="10">
        <v>2315.2629999999999</v>
      </c>
      <c r="C57" s="1">
        <f t="shared" si="3"/>
        <v>7.3490757668559503E-2</v>
      </c>
      <c r="D57" s="18">
        <v>2293.84</v>
      </c>
      <c r="E57" s="1">
        <f t="shared" si="0"/>
        <v>3.8003213215413334E-2</v>
      </c>
      <c r="F57" s="1">
        <f t="shared" si="2"/>
        <v>7.1507815685932119E-2</v>
      </c>
    </row>
    <row r="58" spans="1:6" x14ac:dyDescent="0.35">
      <c r="A58" t="s">
        <v>130</v>
      </c>
      <c r="B58" s="10">
        <v>2299.942</v>
      </c>
      <c r="C58" s="1">
        <f t="shared" si="3"/>
        <v>5.2619005011965925E-2</v>
      </c>
      <c r="D58" s="18">
        <v>2312.2829999999999</v>
      </c>
      <c r="E58" s="1">
        <f t="shared" si="0"/>
        <v>3.255087290856995E-2</v>
      </c>
      <c r="F58" s="1">
        <f t="shared" si="2"/>
        <v>5.3792436501053587E-2</v>
      </c>
    </row>
    <row r="59" spans="1:6" x14ac:dyDescent="0.35">
      <c r="A59" t="s">
        <v>147</v>
      </c>
      <c r="B59" s="50">
        <v>2230.8330000000001</v>
      </c>
      <c r="C59" s="1">
        <f t="shared" si="3"/>
        <v>5.4269264355455427E-4</v>
      </c>
      <c r="D59" s="18">
        <v>2243.1210000000001</v>
      </c>
      <c r="E59" s="1">
        <f t="shared" si="0"/>
        <v>-0.11438113324236177</v>
      </c>
      <c r="F59" s="1">
        <f t="shared" si="2"/>
        <v>6.6380179092662139E-4</v>
      </c>
    </row>
    <row r="60" spans="1:6" x14ac:dyDescent="0.35">
      <c r="A60" t="s">
        <v>148</v>
      </c>
      <c r="B60" s="43">
        <v>2332.0329999999999</v>
      </c>
      <c r="C60" s="1">
        <f t="shared" si="3"/>
        <v>2.4892853626979461E-2</v>
      </c>
      <c r="D60" s="18">
        <v>2329.7710000000002</v>
      </c>
      <c r="E60" s="1">
        <f t="shared" si="0"/>
        <v>0.16370295003489699</v>
      </c>
      <c r="F60" s="1">
        <f t="shared" si="2"/>
        <v>2.5179203977910181E-2</v>
      </c>
    </row>
    <row r="61" spans="1:6" x14ac:dyDescent="0.35">
      <c r="A61" t="s">
        <v>153</v>
      </c>
      <c r="B61" s="43">
        <v>2422.1770000000001</v>
      </c>
      <c r="C61" s="1">
        <f t="shared" si="3"/>
        <v>4.6177907218316161E-2</v>
      </c>
      <c r="D61" s="18">
        <v>2396.5259999999998</v>
      </c>
      <c r="E61" s="1">
        <f t="shared" si="0"/>
        <v>0.11963286998248801</v>
      </c>
      <c r="F61" s="1">
        <f t="shared" si="2"/>
        <v>4.4765981934223653E-2</v>
      </c>
    </row>
    <row r="62" spans="1:6" x14ac:dyDescent="0.35">
      <c r="A62" t="s">
        <v>154</v>
      </c>
      <c r="B62" s="43">
        <v>2423.636</v>
      </c>
      <c r="C62" s="1">
        <f t="shared" si="3"/>
        <v>5.3781356225504728E-2</v>
      </c>
      <c r="D62" s="18">
        <v>2438.9830000000002</v>
      </c>
      <c r="E62" s="1">
        <f t="shared" si="0"/>
        <v>7.2769735364619947E-2</v>
      </c>
      <c r="F62" s="1">
        <f t="shared" si="2"/>
        <v>5.4794330970733274E-2</v>
      </c>
    </row>
    <row r="63" spans="1:6" x14ac:dyDescent="0.35">
      <c r="A63" t="s">
        <v>155</v>
      </c>
      <c r="B63" s="43">
        <v>2504.1619999999998</v>
      </c>
      <c r="C63" s="1">
        <f t="shared" si="3"/>
        <v>0.1225232906273126</v>
      </c>
      <c r="D63" s="18">
        <v>2518.998</v>
      </c>
      <c r="E63" s="1">
        <f t="shared" si="0"/>
        <v>0.13782690214676463</v>
      </c>
      <c r="F63" s="1">
        <f t="shared" si="2"/>
        <v>0.12298801535895754</v>
      </c>
    </row>
    <row r="64" spans="1:6" x14ac:dyDescent="0.35">
      <c r="A64" t="s">
        <v>156</v>
      </c>
      <c r="B64" s="43">
        <v>2544.8890000000001</v>
      </c>
      <c r="C64" s="1">
        <f t="shared" si="3"/>
        <v>9.1274866178995051E-2</v>
      </c>
      <c r="D64" s="18">
        <v>2541.011</v>
      </c>
      <c r="E64" s="1">
        <f t="shared" si="0"/>
        <v>3.5416042849080398E-2</v>
      </c>
      <c r="F64" s="1">
        <f t="shared" si="2"/>
        <v>9.0669855535157717E-2</v>
      </c>
    </row>
    <row r="65" spans="1:6" x14ac:dyDescent="0.35">
      <c r="A65" t="s">
        <v>157</v>
      </c>
      <c r="B65" s="43">
        <v>2623.4850000000001</v>
      </c>
      <c r="C65" s="1">
        <f t="shared" si="3"/>
        <v>8.3110358986977495E-2</v>
      </c>
      <c r="D65" s="18">
        <v>2594.1959999999999</v>
      </c>
      <c r="E65" s="1">
        <f t="shared" si="0"/>
        <v>8.6388002879440595E-2</v>
      </c>
      <c r="F65" s="1">
        <f t="shared" si="2"/>
        <v>8.2481892539450818E-2</v>
      </c>
    </row>
    <row r="66" spans="1:6" x14ac:dyDescent="0.35">
      <c r="A66" t="s">
        <v>158</v>
      </c>
      <c r="B66" s="43">
        <v>2632.8139999999999</v>
      </c>
      <c r="C66" s="1">
        <f t="shared" si="3"/>
        <v>8.6307514824833342E-2</v>
      </c>
      <c r="D66" s="18">
        <v>2652.3290000000002</v>
      </c>
      <c r="E66" s="1">
        <f t="shared" si="0"/>
        <v>9.2693686501027051E-2</v>
      </c>
      <c r="F66" s="1">
        <f t="shared" si="2"/>
        <v>8.7473344422654753E-2</v>
      </c>
    </row>
    <row r="67" spans="1:6" x14ac:dyDescent="0.35">
      <c r="A67" t="s">
        <v>159</v>
      </c>
      <c r="B67" s="43">
        <v>2689.3829999999998</v>
      </c>
      <c r="C67" s="1">
        <f t="shared" si="3"/>
        <v>7.3965262630772299E-2</v>
      </c>
      <c r="D67" s="18">
        <v>2705.011</v>
      </c>
      <c r="E67" s="1">
        <f t="shared" si="0"/>
        <v>8.1848797963241626E-2</v>
      </c>
      <c r="F67" s="1">
        <f t="shared" si="2"/>
        <v>7.3844044338264636E-2</v>
      </c>
    </row>
    <row r="68" spans="1:6" x14ac:dyDescent="0.35">
      <c r="A68" t="s">
        <v>160</v>
      </c>
      <c r="B68" s="43">
        <v>2770.4749999999999</v>
      </c>
      <c r="C68" s="1">
        <f t="shared" si="3"/>
        <v>8.8642765951677971E-2</v>
      </c>
      <c r="D68" s="18">
        <v>2764.2</v>
      </c>
      <c r="E68" s="1">
        <f t="shared" ref="E68:E79" si="4">(D68/D67)^4-1</f>
        <v>9.0439835238432353E-2</v>
      </c>
      <c r="F68" s="1">
        <f t="shared" si="2"/>
        <v>8.7834724052749058E-2</v>
      </c>
    </row>
    <row r="69" spans="1:6" x14ac:dyDescent="0.35">
      <c r="A69" t="s">
        <v>161</v>
      </c>
      <c r="B69" s="43">
        <v>2838.5790000000002</v>
      </c>
      <c r="C69" s="1">
        <f t="shared" si="3"/>
        <v>8.1987890153745857E-2</v>
      </c>
      <c r="D69" s="18">
        <v>2807.5549999999998</v>
      </c>
      <c r="E69" s="1">
        <f t="shared" si="4"/>
        <v>6.4229371638494515E-2</v>
      </c>
      <c r="F69" s="1">
        <f t="shared" si="2"/>
        <v>8.2244749432965003E-2</v>
      </c>
    </row>
    <row r="70" spans="1:6" x14ac:dyDescent="0.35">
      <c r="A70" t="s">
        <v>162</v>
      </c>
      <c r="B70" s="43">
        <v>2837.3710000000001</v>
      </c>
      <c r="C70" s="1">
        <f t="shared" si="3"/>
        <v>7.7695196090570962E-2</v>
      </c>
      <c r="D70" s="18">
        <v>2859.6880000000001</v>
      </c>
      <c r="E70" s="1">
        <f t="shared" si="4"/>
        <v>7.636984048114126E-2</v>
      </c>
      <c r="F70" s="1">
        <f t="shared" si="2"/>
        <v>7.8179969377856207E-2</v>
      </c>
    </row>
    <row r="71" spans="1:6" x14ac:dyDescent="0.35">
      <c r="A71" t="s">
        <v>163</v>
      </c>
      <c r="B71" s="83">
        <v>2875.0479999999998</v>
      </c>
      <c r="C71" s="1">
        <f t="shared" si="3"/>
        <v>6.9036280812364792E-2</v>
      </c>
      <c r="D71" s="18">
        <v>2892.0749999999998</v>
      </c>
      <c r="E71" s="1">
        <f t="shared" si="4"/>
        <v>4.6076855320685395E-2</v>
      </c>
      <c r="F71" s="1">
        <f t="shared" ref="F71:F76" si="5">D71/D67-1</f>
        <v>6.9154617116159445E-2</v>
      </c>
    </row>
    <row r="72" spans="1:6" x14ac:dyDescent="0.35">
      <c r="A72" t="s">
        <v>164</v>
      </c>
      <c r="B72" s="83">
        <v>2962.7089999999998</v>
      </c>
      <c r="C72" s="1">
        <f t="shared" si="3"/>
        <v>6.938665752262696E-2</v>
      </c>
      <c r="D72" s="18">
        <v>2953.154</v>
      </c>
      <c r="E72" s="1">
        <f t="shared" si="4"/>
        <v>8.7191816561886126E-2</v>
      </c>
      <c r="F72" s="1">
        <f t="shared" si="5"/>
        <v>6.8357571811012319E-2</v>
      </c>
    </row>
    <row r="73" spans="1:6" ht="15" thickBot="1" x14ac:dyDescent="0.4">
      <c r="A73" t="s">
        <v>165</v>
      </c>
      <c r="B73" s="91">
        <v>3031.0140000000001</v>
      </c>
      <c r="C73" s="1">
        <f t="shared" si="3"/>
        <v>6.779272304910311E-2</v>
      </c>
      <c r="D73" s="18">
        <v>2999.7779999999998</v>
      </c>
      <c r="E73" s="1">
        <f t="shared" si="4"/>
        <v>6.466280785841505E-2</v>
      </c>
      <c r="F73" s="1">
        <f t="shared" si="5"/>
        <v>6.8466334586499533E-2</v>
      </c>
    </row>
    <row r="74" spans="1:6" x14ac:dyDescent="0.35">
      <c r="A74" t="s">
        <v>167</v>
      </c>
      <c r="B74" s="95">
        <v>3025.3229999999999</v>
      </c>
      <c r="C74" s="1">
        <f t="shared" si="3"/>
        <v>6.624160182084049E-2</v>
      </c>
      <c r="D74" s="18">
        <v>3049.6559999999999</v>
      </c>
      <c r="E74" s="1">
        <f t="shared" si="4"/>
        <v>6.818617421577966E-2</v>
      </c>
      <c r="F74" s="1">
        <f t="shared" si="5"/>
        <v>6.6429624490503825E-2</v>
      </c>
    </row>
    <row r="75" spans="1:6" x14ac:dyDescent="0.35">
      <c r="A75" t="s">
        <v>170</v>
      </c>
      <c r="B75" s="101">
        <v>3090.0880000000002</v>
      </c>
      <c r="C75" s="1">
        <f t="shared" si="3"/>
        <v>7.4795272983268601E-2</v>
      </c>
      <c r="D75" s="18">
        <v>3108.4389999999999</v>
      </c>
      <c r="E75" s="1">
        <f t="shared" si="4"/>
        <v>7.9359159507411015E-2</v>
      </c>
      <c r="F75" s="1">
        <f t="shared" si="5"/>
        <v>7.4812720970237612E-2</v>
      </c>
    </row>
    <row r="76" spans="1:6" x14ac:dyDescent="0.35">
      <c r="A76" t="s">
        <v>191</v>
      </c>
      <c r="B76" s="104">
        <v>3175.9859999999999</v>
      </c>
      <c r="C76" s="1">
        <f t="shared" si="3"/>
        <v>7.1987157699254345E-2</v>
      </c>
      <c r="D76" s="101">
        <v>3163.6149999999998</v>
      </c>
      <c r="E76" s="1">
        <f t="shared" si="4"/>
        <v>7.2914482095582267E-2</v>
      </c>
      <c r="F76" s="1">
        <f t="shared" si="5"/>
        <v>7.1266517086477688E-2</v>
      </c>
    </row>
    <row r="77" spans="1:6" x14ac:dyDescent="0.35">
      <c r="A77" t="s">
        <v>239</v>
      </c>
      <c r="B77" s="112">
        <v>3242.14</v>
      </c>
      <c r="C77" s="1">
        <f t="shared" si="3"/>
        <v>6.9655237488180477E-2</v>
      </c>
      <c r="D77" s="101">
        <v>3210.2579999999998</v>
      </c>
      <c r="E77" s="1">
        <f t="shared" si="4"/>
        <v>6.0291411268877493E-2</v>
      </c>
      <c r="F77" s="1">
        <f>D77/D73-1</f>
        <v>7.0165192224224571E-2</v>
      </c>
    </row>
    <row r="78" spans="1:6" x14ac:dyDescent="0.35">
      <c r="A78" t="s">
        <v>240</v>
      </c>
      <c r="B78" s="101">
        <v>3238.4180000000001</v>
      </c>
      <c r="C78" s="1">
        <f t="shared" si="3"/>
        <v>7.0437107046090741E-2</v>
      </c>
      <c r="D78" s="101">
        <v>3264.415</v>
      </c>
      <c r="E78" s="1">
        <f t="shared" si="4"/>
        <v>6.9206798264478397E-2</v>
      </c>
      <c r="F78" s="1">
        <f>D78/D74-1</f>
        <v>7.0420729419973904E-2</v>
      </c>
    </row>
    <row r="79" spans="1:6" x14ac:dyDescent="0.35">
      <c r="A79" t="s">
        <v>247</v>
      </c>
      <c r="B79" s="101">
        <v>3322.5610000000001</v>
      </c>
      <c r="C79" s="1">
        <f>B79/B75-1</f>
        <v>7.5231838057686407E-2</v>
      </c>
      <c r="D79" s="101">
        <v>3343.1089999999999</v>
      </c>
      <c r="E79" s="1">
        <f t="shared" si="4"/>
        <v>9.9969613016666736E-2</v>
      </c>
      <c r="F79" s="1">
        <f>D79/D75-1</f>
        <v>7.5494484530659989E-2</v>
      </c>
    </row>
    <row r="80" spans="1:6" x14ac:dyDescent="0.35">
      <c r="A80" t="s">
        <v>249</v>
      </c>
      <c r="B80" s="101">
        <v>3418.7139999999999</v>
      </c>
      <c r="C80" s="1">
        <f t="shared" si="3"/>
        <v>7.6426029585772826E-2</v>
      </c>
      <c r="D80" s="101">
        <v>3403.7829999999999</v>
      </c>
      <c r="E80" s="1">
        <f t="shared" ref="E80" si="6">(D80/D79)^4-1</f>
        <v>7.4596230177380596E-2</v>
      </c>
      <c r="F80" s="1">
        <f>D80/D76-1</f>
        <v>7.5915685062815763E-2</v>
      </c>
    </row>
    <row r="81" spans="1:6" x14ac:dyDescent="0.35">
      <c r="A81" t="s">
        <v>264</v>
      </c>
      <c r="B81" s="101">
        <v>3520.0929999999998</v>
      </c>
      <c r="C81" s="1">
        <f t="shared" si="3"/>
        <v>8.5731337943456998E-2</v>
      </c>
      <c r="D81" s="101">
        <v>3485.9789999999998</v>
      </c>
      <c r="E81" s="1">
        <f t="shared" ref="E81:E82" si="7">(D81/D80)^4-1</f>
        <v>0.10014924881489473</v>
      </c>
      <c r="F81" s="1">
        <f t="shared" ref="F81:F82" si="8">D81/D77-1</f>
        <v>8.5887489416738516E-2</v>
      </c>
    </row>
    <row r="82" spans="1:6" x14ac:dyDescent="0.35">
      <c r="A82" t="s">
        <v>265</v>
      </c>
      <c r="B82" s="101">
        <v>3552.7809999999999</v>
      </c>
      <c r="C82" s="1">
        <f t="shared" si="3"/>
        <v>9.7073015280918051E-2</v>
      </c>
      <c r="D82" s="101">
        <v>3582.1179999999999</v>
      </c>
      <c r="E82" s="1">
        <f t="shared" si="7"/>
        <v>0.11496307794310834</v>
      </c>
      <c r="F82" s="1">
        <f t="shared" si="8"/>
        <v>9.7323103833305558E-2</v>
      </c>
    </row>
    <row r="89" spans="1:6" x14ac:dyDescent="0.35">
      <c r="D89" t="s">
        <v>154</v>
      </c>
      <c r="E89" s="1">
        <v>4.3553292199839611E-2</v>
      </c>
    </row>
    <row r="90" spans="1:6" x14ac:dyDescent="0.35">
      <c r="D90" t="s">
        <v>155</v>
      </c>
      <c r="E90" s="1">
        <v>0.15031059354530751</v>
      </c>
    </row>
    <row r="91" spans="1:6" x14ac:dyDescent="0.35">
      <c r="D91" t="s">
        <v>156</v>
      </c>
      <c r="E91" s="1">
        <v>8.9877467227611252E-2</v>
      </c>
    </row>
    <row r="92" spans="1:6" x14ac:dyDescent="0.35">
      <c r="D92" t="s">
        <v>157</v>
      </c>
      <c r="E92" s="1">
        <v>8.8985930236873623E-2</v>
      </c>
    </row>
    <row r="93" spans="1:6" x14ac:dyDescent="0.35">
      <c r="D93" t="s">
        <v>158</v>
      </c>
      <c r="E93" s="1">
        <v>0.1037052771335476</v>
      </c>
    </row>
    <row r="94" spans="1:6" x14ac:dyDescent="0.35">
      <c r="D94" t="s">
        <v>159</v>
      </c>
      <c r="E94" s="1">
        <v>8.6200867733137843E-2</v>
      </c>
    </row>
    <row r="95" spans="1:6" x14ac:dyDescent="0.35">
      <c r="D95" t="s">
        <v>160</v>
      </c>
      <c r="E95" s="1">
        <v>0.10674846823982986</v>
      </c>
    </row>
    <row r="96" spans="1:6" x14ac:dyDescent="0.35">
      <c r="D96" t="s">
        <v>161</v>
      </c>
      <c r="E96" s="1">
        <v>8.4905039540090765E-2</v>
      </c>
    </row>
    <row r="97" spans="4:5" x14ac:dyDescent="0.35">
      <c r="D97" t="s">
        <v>162</v>
      </c>
      <c r="E97" s="1">
        <v>8.334847844261084E-2</v>
      </c>
    </row>
    <row r="98" spans="4:5" x14ac:dyDescent="0.35">
      <c r="D98" t="s">
        <v>163</v>
      </c>
      <c r="E98" s="1">
        <v>5.8390191925331791E-2</v>
      </c>
    </row>
    <row r="99" spans="4:5" x14ac:dyDescent="0.35">
      <c r="D99" t="s">
        <v>164</v>
      </c>
      <c r="E99" s="1">
        <v>7.0190009451209567E-2</v>
      </c>
    </row>
    <row r="100" spans="4:5" x14ac:dyDescent="0.35">
      <c r="D100" t="s">
        <v>165</v>
      </c>
      <c r="E100" s="1">
        <v>7.3636211990026013E-2</v>
      </c>
    </row>
    <row r="101" spans="4:5" x14ac:dyDescent="0.35">
      <c r="D101" t="s">
        <v>167</v>
      </c>
      <c r="E101" s="1">
        <v>6.5682716775356642E-2</v>
      </c>
    </row>
    <row r="102" spans="4:5" x14ac:dyDescent="0.35">
      <c r="D102" t="s">
        <v>170</v>
      </c>
      <c r="E102" s="1">
        <v>8.0653961265662266E-2</v>
      </c>
    </row>
    <row r="103" spans="4:5" x14ac:dyDescent="0.35">
      <c r="D103" t="s">
        <v>191</v>
      </c>
      <c r="E103" s="1">
        <v>6.5381564940339087E-2</v>
      </c>
    </row>
    <row r="104" spans="4:5" x14ac:dyDescent="0.35">
      <c r="D104" t="s">
        <v>239</v>
      </c>
      <c r="E104" s="1">
        <v>7.7570038455782475E-2</v>
      </c>
    </row>
    <row r="105" spans="4:5" x14ac:dyDescent="0.35">
      <c r="D105" t="s">
        <v>240</v>
      </c>
      <c r="E105" s="1">
        <v>5.8640123920353115E-2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F0-AA3E-4D9B-B642-07B909A68701}">
  <sheetPr codeName="Sheet4"/>
  <dimension ref="A5:K221"/>
  <sheetViews>
    <sheetView topLeftCell="A13" workbookViewId="0">
      <selection activeCell="K6" sqref="K6:K15"/>
    </sheetView>
  </sheetViews>
  <sheetFormatPr defaultRowHeight="14.5" x14ac:dyDescent="0.35"/>
  <cols>
    <col min="1" max="1" width="32.90625" customWidth="1"/>
    <col min="2" max="2" width="25.90625" customWidth="1"/>
    <col min="5" max="5" width="27.90625" bestFit="1" customWidth="1"/>
    <col min="11" max="11" width="27.6328125" customWidth="1"/>
  </cols>
  <sheetData>
    <row r="5" spans="1:11" x14ac:dyDescent="0.35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</row>
    <row r="6" spans="1:11" x14ac:dyDescent="0.35">
      <c r="A6" t="s">
        <v>101</v>
      </c>
      <c r="B6">
        <v>53.336199999999998</v>
      </c>
      <c r="C6">
        <v>43.738849999999999</v>
      </c>
      <c r="D6">
        <v>2.00814</v>
      </c>
      <c r="E6">
        <v>2.0234920000000001</v>
      </c>
      <c r="F6">
        <v>1.4255E-2</v>
      </c>
      <c r="G6">
        <v>0.82143999999999995</v>
      </c>
      <c r="K6" t="s">
        <v>101</v>
      </c>
    </row>
    <row r="7" spans="1:11" x14ac:dyDescent="0.35">
      <c r="A7" t="s">
        <v>220</v>
      </c>
      <c r="B7">
        <v>61.407170000000001</v>
      </c>
      <c r="C7">
        <v>61.230710000000002</v>
      </c>
      <c r="D7">
        <v>2.8108550000000001</v>
      </c>
      <c r="E7">
        <v>2.7734019999999999</v>
      </c>
      <c r="F7">
        <v>1.9196000000000001E-2</v>
      </c>
      <c r="G7">
        <v>1.1183749999999999</v>
      </c>
      <c r="K7" t="s">
        <v>220</v>
      </c>
    </row>
    <row r="8" spans="1:11" x14ac:dyDescent="0.35">
      <c r="A8" t="s">
        <v>113</v>
      </c>
      <c r="B8">
        <v>61.977200000000003</v>
      </c>
      <c r="C8">
        <v>64.25694</v>
      </c>
      <c r="D8">
        <v>3.0141040000000001</v>
      </c>
      <c r="E8">
        <v>3.013064</v>
      </c>
      <c r="F8">
        <v>1.7645000000000001E-2</v>
      </c>
      <c r="G8">
        <v>1.062341</v>
      </c>
      <c r="K8" t="s">
        <v>113</v>
      </c>
    </row>
    <row r="9" spans="1:11" s="14" customFormat="1" x14ac:dyDescent="0.35">
      <c r="A9" t="s">
        <v>102</v>
      </c>
      <c r="B9">
        <v>68.962010000000006</v>
      </c>
      <c r="C9">
        <v>48.092730000000003</v>
      </c>
      <c r="D9">
        <v>2.2695530000000002</v>
      </c>
      <c r="E9">
        <v>2.2372359999999998</v>
      </c>
      <c r="F9">
        <v>1.4321E-2</v>
      </c>
      <c r="G9">
        <v>0.82948</v>
      </c>
      <c r="K9" t="s">
        <v>102</v>
      </c>
    </row>
    <row r="10" spans="1:11" x14ac:dyDescent="0.35">
      <c r="A10" t="s">
        <v>218</v>
      </c>
      <c r="B10">
        <v>69.61712</v>
      </c>
      <c r="C10">
        <v>58.543990000000001</v>
      </c>
      <c r="D10">
        <v>2.61435</v>
      </c>
      <c r="E10">
        <v>2.5712250000000001</v>
      </c>
      <c r="F10">
        <v>1.8591E-2</v>
      </c>
      <c r="G10">
        <v>1.0565880000000001</v>
      </c>
      <c r="K10" t="s">
        <v>218</v>
      </c>
    </row>
    <row r="11" spans="1:11" x14ac:dyDescent="0.35">
      <c r="A11" t="s">
        <v>221</v>
      </c>
      <c r="B11">
        <v>72.686729999999997</v>
      </c>
      <c r="C11">
        <v>65.407839999999993</v>
      </c>
      <c r="D11">
        <v>2.9634049999999998</v>
      </c>
      <c r="E11">
        <v>2.8924820000000002</v>
      </c>
      <c r="F11">
        <v>1.9719E-2</v>
      </c>
      <c r="G11">
        <v>1.1233580000000001</v>
      </c>
      <c r="K11" t="s">
        <v>221</v>
      </c>
    </row>
    <row r="12" spans="1:11" x14ac:dyDescent="0.35">
      <c r="A12" t="s">
        <v>216</v>
      </c>
      <c r="B12">
        <v>79.882649999999998</v>
      </c>
      <c r="C12">
        <v>61.394759999999998</v>
      </c>
      <c r="D12">
        <v>2.8476949999999999</v>
      </c>
      <c r="E12">
        <v>2.8280699999999999</v>
      </c>
      <c r="F12">
        <v>1.8468999999999999E-2</v>
      </c>
      <c r="G12">
        <v>1.0909519999999999</v>
      </c>
      <c r="K12" t="s">
        <v>216</v>
      </c>
    </row>
    <row r="13" spans="1:11" x14ac:dyDescent="0.35">
      <c r="A13" t="s">
        <v>222</v>
      </c>
      <c r="B13">
        <v>80.647220000000004</v>
      </c>
      <c r="C13">
        <v>75.198989999999995</v>
      </c>
      <c r="D13">
        <v>3.555768</v>
      </c>
      <c r="E13">
        <v>3.467076</v>
      </c>
      <c r="F13">
        <v>1.9767E-2</v>
      </c>
      <c r="G13">
        <v>1.2210030000000001</v>
      </c>
      <c r="K13" t="s">
        <v>222</v>
      </c>
    </row>
    <row r="14" spans="1:11" x14ac:dyDescent="0.35">
      <c r="A14" s="89" t="s">
        <v>223</v>
      </c>
      <c r="B14">
        <v>82.897379999999998</v>
      </c>
      <c r="C14">
        <v>65.141850000000005</v>
      </c>
      <c r="D14">
        <v>2.9366310000000002</v>
      </c>
      <c r="E14">
        <v>2.8719809999999999</v>
      </c>
      <c r="F14">
        <v>2.036E-2</v>
      </c>
      <c r="G14">
        <v>1.1806160000000001</v>
      </c>
      <c r="K14" s="89" t="s">
        <v>223</v>
      </c>
    </row>
    <row r="15" spans="1:11" x14ac:dyDescent="0.35">
      <c r="A15" t="s">
        <v>205</v>
      </c>
      <c r="B15">
        <v>83.568780000000004</v>
      </c>
      <c r="C15">
        <v>53.585830000000001</v>
      </c>
      <c r="D15">
        <v>2.4603769999999998</v>
      </c>
      <c r="E15">
        <v>2.4580099999999998</v>
      </c>
      <c r="F15">
        <v>1.6357E-2</v>
      </c>
      <c r="G15">
        <v>0.97065699999999999</v>
      </c>
      <c r="K15" t="s">
        <v>205</v>
      </c>
    </row>
    <row r="16" spans="1:11" x14ac:dyDescent="0.35">
      <c r="A16" t="s">
        <v>206</v>
      </c>
      <c r="B16">
        <v>83.810239999999993</v>
      </c>
      <c r="C16">
        <v>61.608060000000002</v>
      </c>
      <c r="D16">
        <v>2.8653710000000001</v>
      </c>
      <c r="E16">
        <v>2.8624559999999999</v>
      </c>
      <c r="F16">
        <v>1.6618999999999998E-2</v>
      </c>
      <c r="G16">
        <v>0.99845899999999999</v>
      </c>
    </row>
    <row r="17" spans="1:7" x14ac:dyDescent="0.35">
      <c r="A17" t="s">
        <v>209</v>
      </c>
      <c r="B17">
        <v>86.286760000000001</v>
      </c>
      <c r="C17">
        <v>63.305619999999998</v>
      </c>
      <c r="D17">
        <v>2.9447019999999999</v>
      </c>
      <c r="E17">
        <v>3.0080719999999999</v>
      </c>
      <c r="F17">
        <v>1.7217E-2</v>
      </c>
      <c r="G17">
        <v>1.034651</v>
      </c>
    </row>
    <row r="18" spans="1:7" x14ac:dyDescent="0.35">
      <c r="A18" t="s">
        <v>115</v>
      </c>
      <c r="B18">
        <v>86.297510000000003</v>
      </c>
      <c r="C18">
        <v>58.631270000000001</v>
      </c>
      <c r="D18">
        <v>2.7120380000000002</v>
      </c>
      <c r="E18">
        <v>2.6896460000000002</v>
      </c>
      <c r="F18">
        <v>1.8041999999999999E-2</v>
      </c>
      <c r="G18">
        <v>1.059253</v>
      </c>
    </row>
    <row r="19" spans="1:7" x14ac:dyDescent="0.35">
      <c r="A19" t="s">
        <v>122</v>
      </c>
      <c r="B19">
        <v>86.351179999999999</v>
      </c>
      <c r="C19">
        <v>77.240210000000005</v>
      </c>
      <c r="D19">
        <v>3.6670579999999999</v>
      </c>
      <c r="E19">
        <v>3.559593</v>
      </c>
      <c r="F19">
        <v>2.2363000000000001E-2</v>
      </c>
      <c r="G19">
        <v>1.356876</v>
      </c>
    </row>
    <row r="20" spans="1:7" x14ac:dyDescent="0.35">
      <c r="A20" t="s">
        <v>95</v>
      </c>
      <c r="B20">
        <v>88.992310000000003</v>
      </c>
      <c r="C20">
        <v>39.652180000000001</v>
      </c>
      <c r="D20">
        <v>1.7887489999999999</v>
      </c>
      <c r="E20">
        <v>1.776321</v>
      </c>
      <c r="F20">
        <v>1.2056000000000001E-2</v>
      </c>
      <c r="G20">
        <v>0.68112799999999996</v>
      </c>
    </row>
    <row r="21" spans="1:7" x14ac:dyDescent="0.35">
      <c r="A21" t="s">
        <v>107</v>
      </c>
      <c r="B21">
        <v>89.575959999999995</v>
      </c>
      <c r="C21">
        <v>58.212440000000001</v>
      </c>
      <c r="D21">
        <v>2.7220300000000002</v>
      </c>
      <c r="E21">
        <v>2.7093090000000002</v>
      </c>
      <c r="F21">
        <v>1.7264999999999999E-2</v>
      </c>
      <c r="G21">
        <v>1.011177</v>
      </c>
    </row>
    <row r="22" spans="1:7" x14ac:dyDescent="0.35">
      <c r="A22" t="s">
        <v>202</v>
      </c>
      <c r="B22">
        <v>90.0745</v>
      </c>
      <c r="C22">
        <v>50.538989999999998</v>
      </c>
      <c r="D22">
        <v>2.2483059999999999</v>
      </c>
      <c r="E22">
        <v>2.2391519999999998</v>
      </c>
      <c r="F22">
        <v>1.4335000000000001E-2</v>
      </c>
      <c r="G22">
        <v>0.80498400000000003</v>
      </c>
    </row>
    <row r="23" spans="1:7" x14ac:dyDescent="0.35">
      <c r="A23" t="s">
        <v>208</v>
      </c>
      <c r="B23">
        <v>90.254869999999997</v>
      </c>
      <c r="C23">
        <v>52.055759999999999</v>
      </c>
      <c r="D23">
        <v>2.3034330000000001</v>
      </c>
      <c r="E23">
        <v>2.2535539999999998</v>
      </c>
      <c r="F23">
        <v>1.6823999999999999E-2</v>
      </c>
      <c r="G23">
        <v>0.94284299999999999</v>
      </c>
    </row>
    <row r="24" spans="1:7" x14ac:dyDescent="0.35">
      <c r="A24" t="s">
        <v>109</v>
      </c>
      <c r="B24">
        <v>91.494280000000003</v>
      </c>
      <c r="C24">
        <v>56.524419999999999</v>
      </c>
      <c r="D24">
        <v>2.557655</v>
      </c>
      <c r="E24">
        <v>2.5430619999999999</v>
      </c>
      <c r="F24">
        <v>1.7446E-2</v>
      </c>
      <c r="G24">
        <v>1.0121150000000001</v>
      </c>
    </row>
    <row r="25" spans="1:7" x14ac:dyDescent="0.35">
      <c r="A25" t="s">
        <v>217</v>
      </c>
      <c r="B25">
        <v>91.901799999999994</v>
      </c>
      <c r="C25">
        <v>55.608260000000001</v>
      </c>
      <c r="D25">
        <v>2.501233</v>
      </c>
      <c r="E25">
        <v>2.4386570000000001</v>
      </c>
      <c r="F25">
        <v>1.8459E-2</v>
      </c>
      <c r="G25">
        <v>1.059018</v>
      </c>
    </row>
    <row r="26" spans="1:7" x14ac:dyDescent="0.35">
      <c r="A26" s="105" t="s">
        <v>213</v>
      </c>
      <c r="B26" s="14">
        <v>92.001450000000006</v>
      </c>
      <c r="C26" s="14">
        <v>58.643430000000002</v>
      </c>
      <c r="D26" s="14">
        <v>2.7541090000000001</v>
      </c>
      <c r="E26" s="14">
        <v>2.7466390000000001</v>
      </c>
      <c r="F26" s="14">
        <v>1.7493999999999999E-2</v>
      </c>
      <c r="G26" s="14">
        <v>1.044071</v>
      </c>
    </row>
    <row r="27" spans="1:7" x14ac:dyDescent="0.35">
      <c r="A27" t="s">
        <v>210</v>
      </c>
      <c r="B27">
        <v>93.812299999999993</v>
      </c>
      <c r="C27">
        <v>59.513219999999997</v>
      </c>
      <c r="D27">
        <v>2.8281269999999998</v>
      </c>
      <c r="E27">
        <v>2.8279519999999998</v>
      </c>
      <c r="F27">
        <v>1.7115999999999999E-2</v>
      </c>
      <c r="G27">
        <v>1.024635</v>
      </c>
    </row>
    <row r="28" spans="1:7" x14ac:dyDescent="0.35">
      <c r="A28" t="s">
        <v>111</v>
      </c>
      <c r="B28">
        <v>93.923699999999997</v>
      </c>
      <c r="C28">
        <v>61.187379999999997</v>
      </c>
      <c r="D28">
        <v>2.6882139999999999</v>
      </c>
      <c r="E28">
        <v>2.684129</v>
      </c>
      <c r="F28">
        <v>1.7441999999999999E-2</v>
      </c>
      <c r="G28">
        <v>0.95550599999999997</v>
      </c>
    </row>
    <row r="29" spans="1:7" x14ac:dyDescent="0.35">
      <c r="A29" t="s">
        <v>201</v>
      </c>
      <c r="B29">
        <v>94.213560000000001</v>
      </c>
      <c r="C29">
        <v>50.136940000000003</v>
      </c>
      <c r="D29">
        <v>2.1875119999999999</v>
      </c>
      <c r="E29">
        <v>2.1568830000000001</v>
      </c>
      <c r="F29">
        <v>1.4189E-2</v>
      </c>
      <c r="G29">
        <v>0.78309300000000004</v>
      </c>
    </row>
    <row r="30" spans="1:7" x14ac:dyDescent="0.35">
      <c r="A30" t="s">
        <v>100</v>
      </c>
      <c r="B30">
        <v>94.447900000000004</v>
      </c>
      <c r="C30">
        <v>50.140729999999998</v>
      </c>
      <c r="D30">
        <v>2.3373900000000001</v>
      </c>
      <c r="E30">
        <v>2.3765339999999999</v>
      </c>
      <c r="F30">
        <v>1.3735000000000001E-2</v>
      </c>
      <c r="G30">
        <v>0.83649200000000001</v>
      </c>
    </row>
    <row r="31" spans="1:7" x14ac:dyDescent="0.35">
      <c r="A31" t="s">
        <v>96</v>
      </c>
      <c r="B31">
        <v>94.889470000000003</v>
      </c>
      <c r="C31">
        <v>45.427010000000003</v>
      </c>
      <c r="D31">
        <v>2.056136</v>
      </c>
      <c r="E31">
        <v>2.0506989999999998</v>
      </c>
      <c r="F31">
        <v>1.2619999999999999E-2</v>
      </c>
      <c r="G31">
        <v>0.72620799999999996</v>
      </c>
    </row>
    <row r="32" spans="1:7" x14ac:dyDescent="0.35">
      <c r="A32" t="s">
        <v>103</v>
      </c>
      <c r="B32">
        <v>95.067400000000006</v>
      </c>
      <c r="C32">
        <v>52.811610000000002</v>
      </c>
      <c r="D32">
        <v>2.4186619999999999</v>
      </c>
      <c r="E32">
        <v>2.3785539999999998</v>
      </c>
      <c r="F32">
        <v>1.5414000000000001E-2</v>
      </c>
      <c r="G32">
        <v>0.89563899999999996</v>
      </c>
    </row>
    <row r="33" spans="1:7" x14ac:dyDescent="0.35">
      <c r="A33" t="s">
        <v>105</v>
      </c>
      <c r="B33">
        <v>95.879959999999997</v>
      </c>
      <c r="C33">
        <v>52.641539999999999</v>
      </c>
      <c r="D33">
        <v>2.4303940000000002</v>
      </c>
      <c r="E33">
        <v>2.4613499999999999</v>
      </c>
      <c r="F33">
        <v>1.5842999999999999E-2</v>
      </c>
      <c r="G33">
        <v>0.94107300000000005</v>
      </c>
    </row>
    <row r="34" spans="1:7" x14ac:dyDescent="0.35">
      <c r="A34" t="s">
        <v>204</v>
      </c>
      <c r="B34">
        <v>97.231560000000002</v>
      </c>
      <c r="C34">
        <v>53.29421</v>
      </c>
      <c r="D34">
        <v>2.4147919999999998</v>
      </c>
      <c r="E34">
        <v>2.4000530000000002</v>
      </c>
      <c r="F34">
        <v>1.592E-2</v>
      </c>
      <c r="G34">
        <v>0.92336300000000004</v>
      </c>
    </row>
    <row r="35" spans="1:7" x14ac:dyDescent="0.35">
      <c r="A35" t="s">
        <v>199</v>
      </c>
      <c r="B35">
        <v>97.370540000000005</v>
      </c>
      <c r="C35">
        <v>45.635440000000003</v>
      </c>
      <c r="D35">
        <v>1.987228</v>
      </c>
      <c r="E35">
        <v>1.9717469999999999</v>
      </c>
      <c r="F35">
        <v>1.259E-2</v>
      </c>
      <c r="G35">
        <v>0.68738900000000003</v>
      </c>
    </row>
    <row r="36" spans="1:7" x14ac:dyDescent="0.35">
      <c r="A36" s="89" t="s">
        <v>211</v>
      </c>
      <c r="B36">
        <v>98.518929999999997</v>
      </c>
      <c r="C36">
        <v>48.735520000000001</v>
      </c>
      <c r="D36">
        <v>2.1489950000000002</v>
      </c>
      <c r="E36">
        <v>2.1012010000000001</v>
      </c>
      <c r="F36">
        <v>1.7069999999999998E-2</v>
      </c>
      <c r="G36">
        <v>0.96548999999999996</v>
      </c>
    </row>
    <row r="37" spans="1:7" x14ac:dyDescent="0.35">
      <c r="A37" t="s">
        <v>212</v>
      </c>
      <c r="B37">
        <v>99.407759999999996</v>
      </c>
      <c r="C37">
        <v>54.395290000000003</v>
      </c>
      <c r="D37">
        <v>2.4594309999999999</v>
      </c>
      <c r="E37">
        <v>2.4301849999999998</v>
      </c>
      <c r="F37">
        <v>1.7208999999999999E-2</v>
      </c>
      <c r="G37">
        <v>0.997444</v>
      </c>
    </row>
    <row r="38" spans="1:7" x14ac:dyDescent="0.35">
      <c r="A38" t="s">
        <v>214</v>
      </c>
      <c r="B38">
        <v>100.2347</v>
      </c>
      <c r="C38">
        <v>59.057740000000003</v>
      </c>
      <c r="D38">
        <v>2.626757</v>
      </c>
      <c r="E38">
        <v>2.6130599999999999</v>
      </c>
      <c r="F38">
        <v>1.7645999999999998E-2</v>
      </c>
      <c r="G38">
        <v>1.014089</v>
      </c>
    </row>
    <row r="39" spans="1:7" x14ac:dyDescent="0.35">
      <c r="A39" t="s">
        <v>99</v>
      </c>
      <c r="B39">
        <v>102.5406</v>
      </c>
      <c r="C39">
        <v>46.069789999999998</v>
      </c>
      <c r="D39">
        <v>2.1281150000000002</v>
      </c>
      <c r="E39">
        <v>2.1063230000000002</v>
      </c>
      <c r="F39">
        <v>1.2643E-2</v>
      </c>
      <c r="G39">
        <v>0.73240799999999995</v>
      </c>
    </row>
    <row r="40" spans="1:7" x14ac:dyDescent="0.35">
      <c r="A40" t="s">
        <v>215</v>
      </c>
      <c r="B40">
        <v>105.8248</v>
      </c>
      <c r="C40">
        <v>56.867550000000001</v>
      </c>
      <c r="D40">
        <v>2.570198</v>
      </c>
      <c r="E40">
        <v>2.5188600000000001</v>
      </c>
      <c r="F40">
        <v>1.8249000000000001E-2</v>
      </c>
      <c r="G40">
        <v>1.044575</v>
      </c>
    </row>
    <row r="41" spans="1:7" x14ac:dyDescent="0.35">
      <c r="A41" t="s">
        <v>116</v>
      </c>
      <c r="B41">
        <v>108.2598</v>
      </c>
      <c r="C41">
        <v>61.089770000000001</v>
      </c>
      <c r="D41">
        <v>2.7864070000000001</v>
      </c>
      <c r="E41">
        <v>2.7344879999999998</v>
      </c>
      <c r="F41">
        <v>1.7975000000000001E-2</v>
      </c>
      <c r="G41">
        <v>1.026931</v>
      </c>
    </row>
    <row r="42" spans="1:7" x14ac:dyDescent="0.35">
      <c r="A42" s="89" t="s">
        <v>200</v>
      </c>
      <c r="B42">
        <v>109.67400000000001</v>
      </c>
      <c r="C42">
        <v>48.98048</v>
      </c>
      <c r="D42">
        <v>2.238388</v>
      </c>
      <c r="E42">
        <v>2.27244</v>
      </c>
      <c r="F42">
        <v>1.4052E-2</v>
      </c>
      <c r="G42">
        <v>0.812114</v>
      </c>
    </row>
    <row r="43" spans="1:7" x14ac:dyDescent="0.35">
      <c r="A43" t="s">
        <v>219</v>
      </c>
      <c r="B43">
        <v>109.8741</v>
      </c>
      <c r="C43">
        <v>65.828710000000001</v>
      </c>
      <c r="D43">
        <v>3.0783510000000001</v>
      </c>
      <c r="E43">
        <v>3.05924</v>
      </c>
      <c r="F43">
        <v>1.907E-2</v>
      </c>
      <c r="G43">
        <v>1.1340140000000001</v>
      </c>
    </row>
    <row r="44" spans="1:7" x14ac:dyDescent="0.35">
      <c r="A44" s="89" t="s">
        <v>207</v>
      </c>
      <c r="B44">
        <v>113.447</v>
      </c>
      <c r="C44">
        <v>53.57799</v>
      </c>
      <c r="D44">
        <v>2.416293</v>
      </c>
      <c r="E44">
        <v>2.384957</v>
      </c>
      <c r="F44">
        <v>1.6608999999999999E-2</v>
      </c>
      <c r="G44">
        <v>0.96282100000000004</v>
      </c>
    </row>
    <row r="45" spans="1:7" x14ac:dyDescent="0.35">
      <c r="A45" t="s">
        <v>203</v>
      </c>
      <c r="B45">
        <v>118.1846</v>
      </c>
      <c r="C45">
        <v>46.812829999999998</v>
      </c>
      <c r="D45">
        <v>2.1135489999999999</v>
      </c>
      <c r="E45">
        <v>2.0925470000000002</v>
      </c>
      <c r="F45">
        <v>1.5896E-2</v>
      </c>
      <c r="G45">
        <v>0.91138699999999995</v>
      </c>
    </row>
    <row r="46" spans="1:7" x14ac:dyDescent="0.35">
      <c r="A46" t="s">
        <v>118</v>
      </c>
      <c r="B46">
        <v>162.96010000000001</v>
      </c>
      <c r="C46">
        <v>60.67886</v>
      </c>
      <c r="D46">
        <v>2.8338800000000002</v>
      </c>
      <c r="E46">
        <v>2.809069</v>
      </c>
      <c r="F46">
        <v>1.8145999999999999E-2</v>
      </c>
      <c r="G46">
        <v>1.0766720000000001</v>
      </c>
    </row>
    <row r="47" spans="1:7" x14ac:dyDescent="0.35">
      <c r="A47" s="105" t="s">
        <v>117</v>
      </c>
      <c r="B47" s="14">
        <v>187.82040000000001</v>
      </c>
      <c r="C47" s="14">
        <v>60.771259999999998</v>
      </c>
      <c r="D47" s="14">
        <v>2.8020529999999999</v>
      </c>
      <c r="E47" s="14">
        <v>2.745908</v>
      </c>
      <c r="F47" s="14">
        <v>1.7975999999999999E-2</v>
      </c>
      <c r="G47" s="14">
        <v>1.073958</v>
      </c>
    </row>
    <row r="51" spans="10:10" x14ac:dyDescent="0.35">
      <c r="J51" t="s">
        <v>222</v>
      </c>
    </row>
    <row r="52" spans="10:10" x14ac:dyDescent="0.35">
      <c r="J52" t="s">
        <v>217</v>
      </c>
    </row>
    <row r="53" spans="10:10" x14ac:dyDescent="0.35">
      <c r="J53" t="s">
        <v>220</v>
      </c>
    </row>
    <row r="54" spans="10:10" x14ac:dyDescent="0.35">
      <c r="J54" t="s">
        <v>113</v>
      </c>
    </row>
    <row r="55" spans="10:10" x14ac:dyDescent="0.35">
      <c r="J55" t="s">
        <v>215</v>
      </c>
    </row>
    <row r="56" spans="10:10" x14ac:dyDescent="0.35">
      <c r="J56" t="s">
        <v>115</v>
      </c>
    </row>
    <row r="57" spans="10:10" x14ac:dyDescent="0.35">
      <c r="J57" t="s">
        <v>216</v>
      </c>
    </row>
    <row r="58" spans="10:10" x14ac:dyDescent="0.35">
      <c r="J58" t="s">
        <v>223</v>
      </c>
    </row>
    <row r="59" spans="10:10" x14ac:dyDescent="0.35">
      <c r="J59" t="s">
        <v>102</v>
      </c>
    </row>
    <row r="60" spans="10:10" x14ac:dyDescent="0.35">
      <c r="J60" t="s">
        <v>109</v>
      </c>
    </row>
    <row r="61" spans="10:10" x14ac:dyDescent="0.35">
      <c r="J61" t="s">
        <v>218</v>
      </c>
    </row>
    <row r="103" spans="2:8" x14ac:dyDescent="0.35">
      <c r="B103" t="s">
        <v>192</v>
      </c>
      <c r="C103" t="s">
        <v>193</v>
      </c>
      <c r="D103" t="s">
        <v>194</v>
      </c>
      <c r="E103" t="s">
        <v>195</v>
      </c>
      <c r="F103" t="s">
        <v>196</v>
      </c>
      <c r="G103" t="s">
        <v>197</v>
      </c>
      <c r="H103" t="s">
        <v>198</v>
      </c>
    </row>
    <row r="104" spans="2:8" x14ac:dyDescent="0.35">
      <c r="B104" t="s">
        <v>101</v>
      </c>
      <c r="C104">
        <v>52.322040000000001</v>
      </c>
      <c r="D104">
        <v>37.839500000000001</v>
      </c>
      <c r="E104">
        <v>1.7014959999999999</v>
      </c>
      <c r="F104">
        <v>1.697022</v>
      </c>
      <c r="G104">
        <v>1.15E-2</v>
      </c>
      <c r="H104">
        <v>0.65745699999999996</v>
      </c>
    </row>
    <row r="105" spans="2:8" x14ac:dyDescent="0.35">
      <c r="B105" t="s">
        <v>115</v>
      </c>
      <c r="C105">
        <v>56.973959999999998</v>
      </c>
      <c r="D105">
        <v>43.573680000000003</v>
      </c>
      <c r="E105">
        <v>1.8883239999999999</v>
      </c>
      <c r="F105">
        <v>1.8719539999999999</v>
      </c>
      <c r="G105">
        <v>1.2478E-2</v>
      </c>
      <c r="H105">
        <v>0.68310999999999999</v>
      </c>
    </row>
    <row r="106" spans="2:8" x14ac:dyDescent="0.35">
      <c r="B106" t="s">
        <v>113</v>
      </c>
      <c r="C106">
        <v>58.61647</v>
      </c>
      <c r="D106">
        <v>44.303260000000002</v>
      </c>
      <c r="E106">
        <v>2.043755</v>
      </c>
      <c r="F106">
        <v>2.073944</v>
      </c>
      <c r="G106">
        <v>1.2969E-2</v>
      </c>
      <c r="H106">
        <v>0.76244900000000004</v>
      </c>
    </row>
    <row r="107" spans="2:8" x14ac:dyDescent="0.35">
      <c r="B107" t="s">
        <v>222</v>
      </c>
      <c r="C107">
        <v>60.049799999999998</v>
      </c>
      <c r="D107">
        <v>48.765819999999998</v>
      </c>
      <c r="E107">
        <v>2.18899</v>
      </c>
      <c r="F107">
        <v>2.1747830000000001</v>
      </c>
      <c r="G107">
        <v>1.3147000000000001E-2</v>
      </c>
      <c r="H107">
        <v>0.76247600000000004</v>
      </c>
    </row>
    <row r="108" spans="2:8" x14ac:dyDescent="0.35">
      <c r="B108" t="s">
        <v>215</v>
      </c>
      <c r="C108">
        <v>60.223469999999999</v>
      </c>
      <c r="D108">
        <v>41.774880000000003</v>
      </c>
      <c r="E108">
        <v>1.9208909999999999</v>
      </c>
      <c r="F108">
        <v>1.923281</v>
      </c>
      <c r="G108">
        <v>1.3268E-2</v>
      </c>
      <c r="H108">
        <v>0.77910299999999999</v>
      </c>
    </row>
    <row r="109" spans="2:8" x14ac:dyDescent="0.35">
      <c r="B109" t="s">
        <v>220</v>
      </c>
      <c r="C109">
        <v>60.630699999999997</v>
      </c>
      <c r="D109">
        <v>49.306489999999997</v>
      </c>
      <c r="E109">
        <v>2.2942290000000001</v>
      </c>
      <c r="F109">
        <v>2.3325610000000001</v>
      </c>
      <c r="G109">
        <v>1.3436999999999999E-2</v>
      </c>
      <c r="H109">
        <v>0.82985799999999998</v>
      </c>
    </row>
    <row r="110" spans="2:8" x14ac:dyDescent="0.35">
      <c r="B110" t="s">
        <v>217</v>
      </c>
      <c r="C110">
        <v>62.881500000000003</v>
      </c>
      <c r="D110">
        <v>49.137360000000001</v>
      </c>
      <c r="E110">
        <v>2.1291760000000002</v>
      </c>
      <c r="F110">
        <v>2.1052789999999999</v>
      </c>
      <c r="G110">
        <v>1.3724E-2</v>
      </c>
      <c r="H110">
        <v>0.751803</v>
      </c>
    </row>
    <row r="111" spans="2:8" x14ac:dyDescent="0.35">
      <c r="B111" s="14" t="s">
        <v>207</v>
      </c>
      <c r="C111">
        <v>68.650779999999997</v>
      </c>
      <c r="D111">
        <v>52.744520000000001</v>
      </c>
      <c r="E111">
        <v>2.4170020000000001</v>
      </c>
      <c r="F111">
        <v>2.4084720000000002</v>
      </c>
      <c r="G111">
        <v>1.5091E-2</v>
      </c>
      <c r="H111">
        <v>0.89884900000000001</v>
      </c>
    </row>
    <row r="112" spans="2:8" x14ac:dyDescent="0.35">
      <c r="B112" t="s">
        <v>107</v>
      </c>
      <c r="C112">
        <v>68.847790000000003</v>
      </c>
      <c r="D112">
        <v>50.275320000000001</v>
      </c>
      <c r="E112">
        <v>2.3238110000000001</v>
      </c>
      <c r="F112">
        <v>2.3087979999999999</v>
      </c>
      <c r="G112">
        <v>1.5103999999999999E-2</v>
      </c>
      <c r="H112">
        <v>0.92436200000000002</v>
      </c>
    </row>
    <row r="113" spans="2:8" x14ac:dyDescent="0.35">
      <c r="B113" t="s">
        <v>209</v>
      </c>
      <c r="C113">
        <v>70.612399999999994</v>
      </c>
      <c r="D113">
        <v>49.47495</v>
      </c>
      <c r="E113">
        <v>2.256751</v>
      </c>
      <c r="F113">
        <v>2.235951</v>
      </c>
      <c r="G113">
        <v>1.5481999999999999E-2</v>
      </c>
      <c r="H113">
        <v>0.91834000000000005</v>
      </c>
    </row>
    <row r="114" spans="2:8" x14ac:dyDescent="0.35">
      <c r="B114" t="s">
        <v>109</v>
      </c>
      <c r="C114">
        <v>71.171270000000007</v>
      </c>
      <c r="D114">
        <v>46.356540000000003</v>
      </c>
      <c r="E114">
        <v>2.0878570000000001</v>
      </c>
      <c r="F114">
        <v>2.0659529999999999</v>
      </c>
      <c r="G114">
        <v>1.5616E-2</v>
      </c>
      <c r="H114">
        <v>0.90699799999999997</v>
      </c>
    </row>
    <row r="115" spans="2:8" x14ac:dyDescent="0.35">
      <c r="B115" t="s">
        <v>221</v>
      </c>
      <c r="C115">
        <v>72.216340000000002</v>
      </c>
      <c r="D115">
        <v>59.334440000000001</v>
      </c>
      <c r="E115">
        <v>2.7449659999999998</v>
      </c>
      <c r="F115">
        <v>2.799566</v>
      </c>
      <c r="G115">
        <v>1.6035000000000001E-2</v>
      </c>
      <c r="H115">
        <v>0.97874399999999995</v>
      </c>
    </row>
    <row r="116" spans="2:8" x14ac:dyDescent="0.35">
      <c r="B116" t="s">
        <v>202</v>
      </c>
      <c r="C116">
        <v>72.406300000000002</v>
      </c>
      <c r="D116">
        <v>51.802529999999997</v>
      </c>
      <c r="E116">
        <v>2.3858600000000001</v>
      </c>
      <c r="F116">
        <v>2.3856790000000001</v>
      </c>
      <c r="G116">
        <v>1.5916E-2</v>
      </c>
      <c r="H116">
        <v>0.96022200000000002</v>
      </c>
    </row>
    <row r="117" spans="2:8" x14ac:dyDescent="0.35">
      <c r="B117" t="s">
        <v>216</v>
      </c>
      <c r="C117">
        <v>72.682910000000007</v>
      </c>
      <c r="D117">
        <v>57.209159999999997</v>
      </c>
      <c r="E117">
        <v>2.64873</v>
      </c>
      <c r="F117">
        <v>2.6017399999999999</v>
      </c>
      <c r="G117">
        <v>1.5838000000000001E-2</v>
      </c>
      <c r="H117">
        <v>0.92719600000000002</v>
      </c>
    </row>
    <row r="118" spans="2:8" x14ac:dyDescent="0.35">
      <c r="B118" t="s">
        <v>102</v>
      </c>
      <c r="C118">
        <v>73.04083</v>
      </c>
      <c r="D118">
        <v>54.293840000000003</v>
      </c>
      <c r="E118">
        <v>2.5060959999999999</v>
      </c>
      <c r="F118">
        <v>2.546157</v>
      </c>
      <c r="G118">
        <v>1.6178000000000001E-2</v>
      </c>
      <c r="H118">
        <v>0.975352</v>
      </c>
    </row>
    <row r="119" spans="2:8" x14ac:dyDescent="0.35">
      <c r="B119" t="s">
        <v>218</v>
      </c>
      <c r="C119">
        <v>75.278440000000003</v>
      </c>
      <c r="D119">
        <v>56.23272</v>
      </c>
      <c r="E119">
        <v>2.5229210000000002</v>
      </c>
      <c r="F119">
        <v>2.4960339999999999</v>
      </c>
      <c r="G119">
        <v>1.6473000000000002E-2</v>
      </c>
      <c r="H119">
        <v>0.96024100000000001</v>
      </c>
    </row>
    <row r="120" spans="2:8" x14ac:dyDescent="0.35">
      <c r="B120" t="s">
        <v>96</v>
      </c>
      <c r="C120">
        <v>76.254360000000005</v>
      </c>
      <c r="D120">
        <v>58.441800000000001</v>
      </c>
      <c r="E120">
        <v>2.768907</v>
      </c>
      <c r="F120">
        <v>2.7675879999999999</v>
      </c>
      <c r="G120">
        <v>1.6763E-2</v>
      </c>
      <c r="H120">
        <v>1.016202</v>
      </c>
    </row>
    <row r="121" spans="2:8" x14ac:dyDescent="0.35">
      <c r="B121" t="s">
        <v>95</v>
      </c>
      <c r="C121">
        <v>76.321979999999996</v>
      </c>
      <c r="D121">
        <v>56.885429999999999</v>
      </c>
      <c r="E121">
        <v>2.6596549999999999</v>
      </c>
      <c r="F121">
        <v>2.650007</v>
      </c>
      <c r="G121">
        <v>1.6754999999999999E-2</v>
      </c>
      <c r="H121">
        <v>0.99795500000000004</v>
      </c>
    </row>
    <row r="122" spans="2:8" x14ac:dyDescent="0.35">
      <c r="B122" t="s">
        <v>122</v>
      </c>
      <c r="C122">
        <v>76.333240000000004</v>
      </c>
      <c r="D122">
        <v>56.618810000000003</v>
      </c>
      <c r="E122">
        <v>2.58684</v>
      </c>
      <c r="F122">
        <v>2.5459239999999999</v>
      </c>
      <c r="G122">
        <v>1.668E-2</v>
      </c>
      <c r="H122">
        <v>0.96825300000000003</v>
      </c>
    </row>
    <row r="123" spans="2:8" x14ac:dyDescent="0.35">
      <c r="B123" t="s">
        <v>111</v>
      </c>
      <c r="C123">
        <v>76.992109999999997</v>
      </c>
      <c r="D123">
        <v>61.748449999999998</v>
      </c>
      <c r="E123">
        <v>2.9255800000000001</v>
      </c>
      <c r="F123">
        <v>2.9338069999999998</v>
      </c>
      <c r="G123">
        <v>1.6930000000000001E-2</v>
      </c>
      <c r="H123">
        <v>1.044902</v>
      </c>
    </row>
    <row r="124" spans="2:8" x14ac:dyDescent="0.35">
      <c r="B124" t="s">
        <v>223</v>
      </c>
      <c r="C124">
        <v>77.520009999999999</v>
      </c>
      <c r="D124">
        <v>59.325539999999997</v>
      </c>
      <c r="E124">
        <v>2.7869380000000001</v>
      </c>
      <c r="F124">
        <v>2.7978649999999998</v>
      </c>
      <c r="G124">
        <v>1.7113E-2</v>
      </c>
      <c r="H124">
        <v>1.0386420000000001</v>
      </c>
    </row>
    <row r="125" spans="2:8" x14ac:dyDescent="0.35">
      <c r="B125" t="s">
        <v>206</v>
      </c>
      <c r="C125">
        <v>77.917450000000002</v>
      </c>
      <c r="D125">
        <v>58.810780000000001</v>
      </c>
      <c r="E125">
        <v>2.6665570000000001</v>
      </c>
      <c r="F125">
        <v>2.6700879999999998</v>
      </c>
      <c r="G125">
        <v>1.7193E-2</v>
      </c>
      <c r="H125">
        <v>1.017336</v>
      </c>
    </row>
    <row r="126" spans="2:8" x14ac:dyDescent="0.35">
      <c r="B126" t="s">
        <v>208</v>
      </c>
      <c r="C126">
        <v>78.18777</v>
      </c>
      <c r="D126">
        <v>54.546219999999998</v>
      </c>
      <c r="E126">
        <v>2.449211</v>
      </c>
      <c r="F126">
        <v>2.4165890000000001</v>
      </c>
      <c r="G126">
        <v>1.7118000000000001E-2</v>
      </c>
      <c r="H126">
        <v>1.0018069999999999</v>
      </c>
    </row>
    <row r="127" spans="2:8" x14ac:dyDescent="0.35">
      <c r="B127" t="s">
        <v>219</v>
      </c>
      <c r="C127">
        <v>78.233369999999994</v>
      </c>
      <c r="D127">
        <v>57.422699999999999</v>
      </c>
      <c r="E127">
        <v>2.555577</v>
      </c>
      <c r="F127">
        <v>2.5435509999999999</v>
      </c>
      <c r="G127">
        <v>1.7173999999999998E-2</v>
      </c>
      <c r="H127">
        <v>1.001673</v>
      </c>
    </row>
    <row r="128" spans="2:8" x14ac:dyDescent="0.35">
      <c r="B128" t="s">
        <v>201</v>
      </c>
      <c r="C128">
        <v>78.318730000000002</v>
      </c>
      <c r="D128">
        <v>56.187350000000002</v>
      </c>
      <c r="E128">
        <v>2.5326529999999998</v>
      </c>
      <c r="F128">
        <v>2.5162140000000002</v>
      </c>
      <c r="G128">
        <v>1.7174999999999999E-2</v>
      </c>
      <c r="H128">
        <v>1.0079910000000001</v>
      </c>
    </row>
    <row r="129" spans="2:8" x14ac:dyDescent="0.35">
      <c r="B129" t="s">
        <v>205</v>
      </c>
      <c r="C129">
        <v>79.043620000000004</v>
      </c>
      <c r="D129">
        <v>49.772889999999997</v>
      </c>
      <c r="E129">
        <v>2.1760169999999999</v>
      </c>
      <c r="F129">
        <v>2.124155</v>
      </c>
      <c r="G129">
        <v>1.7263000000000001E-2</v>
      </c>
      <c r="H129">
        <v>0.98676799999999998</v>
      </c>
    </row>
    <row r="130" spans="2:8" x14ac:dyDescent="0.35">
      <c r="B130" t="s">
        <v>204</v>
      </c>
      <c r="C130">
        <v>79.736519999999999</v>
      </c>
      <c r="D130">
        <v>55.747720000000001</v>
      </c>
      <c r="E130">
        <v>2.450472</v>
      </c>
      <c r="F130">
        <v>2.3947349999999998</v>
      </c>
      <c r="G130">
        <v>1.7371999999999999E-2</v>
      </c>
      <c r="H130">
        <v>0.98434699999999997</v>
      </c>
    </row>
    <row r="131" spans="2:8" x14ac:dyDescent="0.35">
      <c r="B131" t="s">
        <v>103</v>
      </c>
      <c r="C131">
        <v>79.78877</v>
      </c>
      <c r="D131">
        <v>59.680050000000001</v>
      </c>
      <c r="E131">
        <v>2.763077</v>
      </c>
      <c r="F131">
        <v>2.7474069999999999</v>
      </c>
      <c r="G131">
        <v>1.7500000000000002E-2</v>
      </c>
      <c r="H131">
        <v>1.0480210000000001</v>
      </c>
    </row>
    <row r="132" spans="2:8" x14ac:dyDescent="0.35">
      <c r="B132" t="s">
        <v>210</v>
      </c>
      <c r="C132">
        <v>81.998099999999994</v>
      </c>
      <c r="D132">
        <v>59.225320000000004</v>
      </c>
      <c r="E132">
        <v>2.6855739999999999</v>
      </c>
      <c r="F132">
        <v>2.62934</v>
      </c>
      <c r="G132">
        <v>1.7878999999999999E-2</v>
      </c>
      <c r="H132">
        <v>1.0364500000000001</v>
      </c>
    </row>
    <row r="133" spans="2:8" x14ac:dyDescent="0.35">
      <c r="B133" t="s">
        <v>100</v>
      </c>
      <c r="C133">
        <v>82.213399999999993</v>
      </c>
      <c r="D133">
        <v>59.137709999999998</v>
      </c>
      <c r="E133">
        <v>2.70377</v>
      </c>
      <c r="F133">
        <v>2.6749679999999998</v>
      </c>
      <c r="G133">
        <v>1.8016999999999998E-2</v>
      </c>
      <c r="H133">
        <v>1.0647139999999999</v>
      </c>
    </row>
    <row r="134" spans="2:8" x14ac:dyDescent="0.35">
      <c r="B134" t="s">
        <v>211</v>
      </c>
      <c r="C134">
        <v>82.948580000000007</v>
      </c>
      <c r="D134">
        <v>61.319000000000003</v>
      </c>
      <c r="E134">
        <v>2.8773550000000001</v>
      </c>
      <c r="F134">
        <v>2.8235839999999999</v>
      </c>
      <c r="G134">
        <v>1.8155999999999999E-2</v>
      </c>
      <c r="H134">
        <v>1.100444</v>
      </c>
    </row>
    <row r="135" spans="2:8" x14ac:dyDescent="0.35">
      <c r="B135" t="s">
        <v>213</v>
      </c>
      <c r="C135">
        <v>83.300319999999999</v>
      </c>
      <c r="D135">
        <v>57.406089999999999</v>
      </c>
      <c r="E135">
        <v>2.560819</v>
      </c>
      <c r="F135">
        <v>2.5183650000000002</v>
      </c>
      <c r="G135">
        <v>1.821E-2</v>
      </c>
      <c r="H135">
        <v>1.048762</v>
      </c>
    </row>
    <row r="136" spans="2:8" x14ac:dyDescent="0.35">
      <c r="B136" t="s">
        <v>199</v>
      </c>
      <c r="C136">
        <v>83.446330000000003</v>
      </c>
      <c r="D136">
        <v>63.13223</v>
      </c>
      <c r="E136">
        <v>2.970421</v>
      </c>
      <c r="F136">
        <v>2.9576630000000002</v>
      </c>
      <c r="G136">
        <v>1.8311000000000001E-2</v>
      </c>
      <c r="H136">
        <v>1.111615</v>
      </c>
    </row>
    <row r="137" spans="2:8" x14ac:dyDescent="0.35">
      <c r="B137" t="s">
        <v>105</v>
      </c>
      <c r="C137">
        <v>83.580340000000007</v>
      </c>
      <c r="D137">
        <v>61.370100000000001</v>
      </c>
      <c r="E137">
        <v>2.8202509999999998</v>
      </c>
      <c r="F137">
        <v>2.7956699999999999</v>
      </c>
      <c r="G137">
        <v>1.8325999999999999E-2</v>
      </c>
      <c r="H137">
        <v>1.0910759999999999</v>
      </c>
    </row>
    <row r="138" spans="2:8" x14ac:dyDescent="0.35">
      <c r="B138" t="s">
        <v>212</v>
      </c>
      <c r="C138">
        <v>84.959580000000003</v>
      </c>
      <c r="D138">
        <v>62.803489999999996</v>
      </c>
      <c r="E138">
        <v>2.8773469999999999</v>
      </c>
      <c r="F138">
        <v>2.8409599999999999</v>
      </c>
      <c r="G138">
        <v>1.8582999999999999E-2</v>
      </c>
      <c r="H138">
        <v>1.101845</v>
      </c>
    </row>
    <row r="139" spans="2:8" x14ac:dyDescent="0.35">
      <c r="B139" t="s">
        <v>200</v>
      </c>
      <c r="C139">
        <v>86.132320000000007</v>
      </c>
      <c r="D139">
        <v>57.396349999999998</v>
      </c>
      <c r="E139">
        <v>2.5658470000000002</v>
      </c>
      <c r="F139">
        <v>2.4975930000000002</v>
      </c>
      <c r="G139">
        <v>1.8773000000000001E-2</v>
      </c>
      <c r="H139">
        <v>1.0908610000000001</v>
      </c>
    </row>
    <row r="140" spans="2:8" x14ac:dyDescent="0.35">
      <c r="B140" t="s">
        <v>214</v>
      </c>
      <c r="C140">
        <v>86.578440000000001</v>
      </c>
      <c r="D140">
        <v>60.78304</v>
      </c>
      <c r="E140">
        <v>2.7205590000000002</v>
      </c>
      <c r="F140">
        <v>2.6597680000000001</v>
      </c>
      <c r="G140">
        <v>1.8877000000000001E-2</v>
      </c>
      <c r="H140">
        <v>1.0903579999999999</v>
      </c>
    </row>
    <row r="141" spans="2:8" x14ac:dyDescent="0.35">
      <c r="B141" t="s">
        <v>99</v>
      </c>
      <c r="C141">
        <v>87.559100000000001</v>
      </c>
      <c r="D141">
        <v>61.821370000000002</v>
      </c>
      <c r="E141">
        <v>2.813488</v>
      </c>
      <c r="F141">
        <v>2.771306</v>
      </c>
      <c r="G141">
        <v>1.9155999999999999E-2</v>
      </c>
      <c r="H141">
        <v>1.1257999999999999</v>
      </c>
    </row>
    <row r="142" spans="2:8" x14ac:dyDescent="0.35">
      <c r="B142" t="s">
        <v>116</v>
      </c>
      <c r="C142">
        <v>91.022049999999993</v>
      </c>
      <c r="D142">
        <v>78.904309999999995</v>
      </c>
      <c r="E142">
        <v>3.753269</v>
      </c>
      <c r="F142">
        <v>3.658188</v>
      </c>
      <c r="G142">
        <v>1.9698E-2</v>
      </c>
      <c r="H142">
        <v>1.239323</v>
      </c>
    </row>
    <row r="143" spans="2:8" x14ac:dyDescent="0.35">
      <c r="B143" t="s">
        <v>203</v>
      </c>
      <c r="C143">
        <v>95.735010000000003</v>
      </c>
      <c r="D143">
        <v>80.563010000000006</v>
      </c>
      <c r="E143">
        <v>3.7828979999999999</v>
      </c>
      <c r="F143">
        <v>3.6834519999999999</v>
      </c>
      <c r="G143">
        <v>2.0726999999999999E-2</v>
      </c>
      <c r="H143">
        <v>1.2921009999999999</v>
      </c>
    </row>
    <row r="144" spans="2:8" x14ac:dyDescent="0.35">
      <c r="B144" t="s">
        <v>118</v>
      </c>
      <c r="C144">
        <v>141.41550000000001</v>
      </c>
      <c r="D144">
        <v>129.65950000000001</v>
      </c>
      <c r="E144">
        <v>5.9374079999999996</v>
      </c>
      <c r="F144">
        <v>6.1506109999999996</v>
      </c>
      <c r="G144">
        <v>3.2016999999999997E-2</v>
      </c>
      <c r="H144">
        <v>1.8485309999999999</v>
      </c>
    </row>
    <row r="145" spans="2:8" x14ac:dyDescent="0.35">
      <c r="B145" t="s">
        <v>117</v>
      </c>
      <c r="C145">
        <v>213.65469999999999</v>
      </c>
      <c r="D145">
        <v>201.60210000000001</v>
      </c>
      <c r="E145">
        <v>8.9832059999999991</v>
      </c>
      <c r="F145">
        <v>9.4342570000000006</v>
      </c>
      <c r="G145">
        <v>4.9239999999999999E-2</v>
      </c>
      <c r="H145">
        <v>2.6733829999999998</v>
      </c>
    </row>
    <row r="147" spans="2:8" x14ac:dyDescent="0.35">
      <c r="B147" t="s">
        <v>241</v>
      </c>
      <c r="C147">
        <v>60.095100000000002</v>
      </c>
      <c r="D147">
        <v>42.702399999999997</v>
      </c>
      <c r="E147">
        <v>1.927125</v>
      </c>
      <c r="F147">
        <v>1.9178299999999999</v>
      </c>
      <c r="G147">
        <v>1.3200999999999999E-2</v>
      </c>
      <c r="H147">
        <v>0.77571299999999999</v>
      </c>
    </row>
    <row r="148" spans="2:8" x14ac:dyDescent="0.35">
      <c r="B148" t="s">
        <v>242</v>
      </c>
      <c r="C148">
        <v>60.98133</v>
      </c>
      <c r="D148">
        <v>43.442909999999998</v>
      </c>
      <c r="E148">
        <v>1.9589570000000001</v>
      </c>
      <c r="F148">
        <v>1.9474940000000001</v>
      </c>
      <c r="G148">
        <v>1.3388000000000001E-2</v>
      </c>
      <c r="H148">
        <v>0.785049</v>
      </c>
    </row>
    <row r="149" spans="2:8" x14ac:dyDescent="0.35">
      <c r="B149" t="s">
        <v>243</v>
      </c>
      <c r="C149">
        <v>68.31568</v>
      </c>
      <c r="D149">
        <v>48.101750000000003</v>
      </c>
      <c r="E149">
        <v>2.161216</v>
      </c>
      <c r="F149">
        <v>2.1412939999999998</v>
      </c>
      <c r="G149">
        <v>1.4978E-2</v>
      </c>
      <c r="H149">
        <v>0.87539500000000003</v>
      </c>
    </row>
    <row r="150" spans="2:8" x14ac:dyDescent="0.35">
      <c r="B150" t="s">
        <v>244</v>
      </c>
      <c r="C150" t="s">
        <v>245</v>
      </c>
      <c r="D150" t="s">
        <v>245</v>
      </c>
      <c r="E150" t="s">
        <v>245</v>
      </c>
      <c r="F150" t="s">
        <v>245</v>
      </c>
      <c r="G150" t="s">
        <v>245</v>
      </c>
      <c r="H150" t="s">
        <v>245</v>
      </c>
    </row>
    <row r="151" spans="2:8" x14ac:dyDescent="0.35">
      <c r="B151" t="s">
        <v>246</v>
      </c>
      <c r="C151">
        <v>63.302079999999997</v>
      </c>
      <c r="D151">
        <v>45.20355</v>
      </c>
      <c r="E151">
        <v>2.0257309999999999</v>
      </c>
      <c r="F151">
        <v>2.0021960000000001</v>
      </c>
      <c r="G151">
        <v>1.3868E-2</v>
      </c>
      <c r="H151">
        <v>0.80254199999999998</v>
      </c>
    </row>
    <row r="152" spans="2:8" x14ac:dyDescent="0.35">
      <c r="B152" t="s">
        <v>224</v>
      </c>
      <c r="C152">
        <v>61.355989999999998</v>
      </c>
      <c r="D152">
        <v>44.183619999999998</v>
      </c>
      <c r="E152">
        <v>1.984931</v>
      </c>
      <c r="F152">
        <v>1.9671609999999999</v>
      </c>
      <c r="G152">
        <v>1.3452E-2</v>
      </c>
      <c r="H152">
        <v>0.78166400000000003</v>
      </c>
    </row>
    <row r="172" spans="2:8" x14ac:dyDescent="0.35">
      <c r="B172" t="s">
        <v>192</v>
      </c>
      <c r="C172" t="s">
        <v>193</v>
      </c>
      <c r="D172" t="s">
        <v>194</v>
      </c>
      <c r="E172" t="s">
        <v>195</v>
      </c>
      <c r="F172" t="s">
        <v>196</v>
      </c>
      <c r="G172" t="s">
        <v>197</v>
      </c>
      <c r="H172" t="s">
        <v>198</v>
      </c>
    </row>
    <row r="173" spans="2:8" x14ac:dyDescent="0.35">
      <c r="B173" s="5" t="s">
        <v>101</v>
      </c>
      <c r="C173">
        <v>52.322040000000001</v>
      </c>
      <c r="D173">
        <v>37.839500000000001</v>
      </c>
      <c r="E173">
        <v>1.7014959999999999</v>
      </c>
      <c r="F173">
        <v>1.697022</v>
      </c>
      <c r="G173">
        <v>1.15E-2</v>
      </c>
      <c r="H173">
        <v>0.65745699999999996</v>
      </c>
    </row>
    <row r="174" spans="2:8" x14ac:dyDescent="0.35">
      <c r="B174" t="s">
        <v>115</v>
      </c>
      <c r="C174">
        <v>56.973959999999998</v>
      </c>
      <c r="D174">
        <v>43.573680000000003</v>
      </c>
      <c r="E174">
        <v>1.8883239999999999</v>
      </c>
      <c r="F174">
        <v>1.8719539999999999</v>
      </c>
      <c r="G174">
        <v>1.2478E-2</v>
      </c>
      <c r="H174">
        <v>0.68310999999999999</v>
      </c>
    </row>
    <row r="175" spans="2:8" x14ac:dyDescent="0.35">
      <c r="B175" t="s">
        <v>113</v>
      </c>
      <c r="C175">
        <v>58.61647</v>
      </c>
      <c r="D175">
        <v>44.303260000000002</v>
      </c>
      <c r="E175">
        <v>2.043755</v>
      </c>
      <c r="F175">
        <v>2.073944</v>
      </c>
      <c r="G175">
        <v>1.2969E-2</v>
      </c>
      <c r="H175">
        <v>0.76244900000000004</v>
      </c>
    </row>
    <row r="176" spans="2:8" x14ac:dyDescent="0.35">
      <c r="B176" t="s">
        <v>222</v>
      </c>
      <c r="C176">
        <v>60.049799999999998</v>
      </c>
      <c r="D176">
        <v>48.765819999999998</v>
      </c>
      <c r="E176">
        <v>2.18899</v>
      </c>
      <c r="F176">
        <v>2.1747830000000001</v>
      </c>
      <c r="G176">
        <v>1.3147000000000001E-2</v>
      </c>
      <c r="H176">
        <v>0.76247600000000004</v>
      </c>
    </row>
    <row r="177" spans="2:8" x14ac:dyDescent="0.35">
      <c r="B177" s="5" t="s">
        <v>215</v>
      </c>
      <c r="C177">
        <v>60.223469999999999</v>
      </c>
      <c r="D177">
        <v>41.774880000000003</v>
      </c>
      <c r="E177">
        <v>1.9208909999999999</v>
      </c>
      <c r="F177">
        <v>1.923281</v>
      </c>
      <c r="G177">
        <v>1.3268E-2</v>
      </c>
      <c r="H177">
        <v>0.77910299999999999</v>
      </c>
    </row>
    <row r="178" spans="2:8" x14ac:dyDescent="0.35">
      <c r="B178" t="s">
        <v>220</v>
      </c>
      <c r="C178">
        <v>60.630699999999997</v>
      </c>
      <c r="D178">
        <v>49.306489999999997</v>
      </c>
      <c r="E178">
        <v>2.2942290000000001</v>
      </c>
      <c r="F178">
        <v>2.3325610000000001</v>
      </c>
      <c r="G178">
        <v>1.3436999999999999E-2</v>
      </c>
      <c r="H178">
        <v>0.82985799999999998</v>
      </c>
    </row>
    <row r="179" spans="2:8" x14ac:dyDescent="0.35">
      <c r="B179" t="s">
        <v>217</v>
      </c>
      <c r="C179">
        <v>62.881500000000003</v>
      </c>
      <c r="D179">
        <v>49.137360000000001</v>
      </c>
      <c r="E179">
        <v>2.1291760000000002</v>
      </c>
      <c r="F179">
        <v>2.1052789999999999</v>
      </c>
      <c r="G179">
        <v>1.3724E-2</v>
      </c>
      <c r="H179">
        <v>0.751803</v>
      </c>
    </row>
    <row r="180" spans="2:8" x14ac:dyDescent="0.35">
      <c r="B180" s="5" t="s">
        <v>207</v>
      </c>
      <c r="C180">
        <v>68.650779999999997</v>
      </c>
      <c r="D180">
        <v>52.744520000000001</v>
      </c>
      <c r="E180">
        <v>2.4170020000000001</v>
      </c>
      <c r="F180">
        <v>2.4084720000000002</v>
      </c>
      <c r="G180">
        <v>1.5091E-2</v>
      </c>
      <c r="H180">
        <v>0.89884900000000001</v>
      </c>
    </row>
    <row r="181" spans="2:8" x14ac:dyDescent="0.35">
      <c r="B181" t="s">
        <v>107</v>
      </c>
      <c r="C181">
        <v>68.847790000000003</v>
      </c>
      <c r="D181">
        <v>50.275320000000001</v>
      </c>
      <c r="E181">
        <v>2.3238110000000001</v>
      </c>
      <c r="F181">
        <v>2.3087979999999999</v>
      </c>
      <c r="G181">
        <v>1.5103999999999999E-2</v>
      </c>
      <c r="H181">
        <v>0.92436200000000002</v>
      </c>
    </row>
    <row r="182" spans="2:8" x14ac:dyDescent="0.35">
      <c r="B182" t="s">
        <v>209</v>
      </c>
      <c r="C182">
        <v>70.612399999999994</v>
      </c>
      <c r="D182">
        <v>49.47495</v>
      </c>
      <c r="E182">
        <v>2.256751</v>
      </c>
      <c r="F182">
        <v>2.235951</v>
      </c>
      <c r="G182">
        <v>1.5481999999999999E-2</v>
      </c>
      <c r="H182">
        <v>0.91834000000000005</v>
      </c>
    </row>
    <row r="183" spans="2:8" x14ac:dyDescent="0.35">
      <c r="B183" t="s">
        <v>109</v>
      </c>
      <c r="C183">
        <v>71.171270000000007</v>
      </c>
      <c r="D183">
        <v>46.356540000000003</v>
      </c>
      <c r="E183">
        <v>2.0878570000000001</v>
      </c>
      <c r="F183">
        <v>2.0659529999999999</v>
      </c>
      <c r="G183">
        <v>1.5616E-2</v>
      </c>
      <c r="H183">
        <v>0.90699799999999997</v>
      </c>
    </row>
    <row r="184" spans="2:8" x14ac:dyDescent="0.35">
      <c r="B184" t="s">
        <v>221</v>
      </c>
      <c r="C184">
        <v>72.216340000000002</v>
      </c>
      <c r="D184">
        <v>59.334440000000001</v>
      </c>
      <c r="E184">
        <v>2.7449659999999998</v>
      </c>
      <c r="F184">
        <v>2.799566</v>
      </c>
      <c r="G184">
        <v>1.6035000000000001E-2</v>
      </c>
      <c r="H184">
        <v>0.97874399999999995</v>
      </c>
    </row>
    <row r="185" spans="2:8" x14ac:dyDescent="0.35">
      <c r="B185" t="s">
        <v>202</v>
      </c>
      <c r="C185">
        <v>72.406300000000002</v>
      </c>
      <c r="D185">
        <v>51.802529999999997</v>
      </c>
      <c r="E185">
        <v>2.3858600000000001</v>
      </c>
      <c r="F185">
        <v>2.3856790000000001</v>
      </c>
      <c r="G185">
        <v>1.5916E-2</v>
      </c>
      <c r="H185">
        <v>0.96022200000000002</v>
      </c>
    </row>
    <row r="186" spans="2:8" x14ac:dyDescent="0.35">
      <c r="B186" t="s">
        <v>216</v>
      </c>
      <c r="C186">
        <v>72.682910000000007</v>
      </c>
      <c r="D186">
        <v>57.209159999999997</v>
      </c>
      <c r="E186">
        <v>2.64873</v>
      </c>
      <c r="F186">
        <v>2.6017399999999999</v>
      </c>
      <c r="G186">
        <v>1.5838000000000001E-2</v>
      </c>
      <c r="H186">
        <v>0.92719600000000002</v>
      </c>
    </row>
    <row r="187" spans="2:8" x14ac:dyDescent="0.35">
      <c r="B187" t="s">
        <v>102</v>
      </c>
      <c r="C187">
        <v>73.04083</v>
      </c>
      <c r="D187">
        <v>54.293840000000003</v>
      </c>
      <c r="E187">
        <v>2.5060959999999999</v>
      </c>
      <c r="F187">
        <v>2.546157</v>
      </c>
      <c r="G187">
        <v>1.6178000000000001E-2</v>
      </c>
      <c r="H187">
        <v>0.975352</v>
      </c>
    </row>
    <row r="188" spans="2:8" x14ac:dyDescent="0.35">
      <c r="B188" t="s">
        <v>218</v>
      </c>
      <c r="C188">
        <v>75.278440000000003</v>
      </c>
      <c r="D188">
        <v>56.23272</v>
      </c>
      <c r="E188">
        <v>2.5229210000000002</v>
      </c>
      <c r="F188">
        <v>2.4960339999999999</v>
      </c>
      <c r="G188">
        <v>1.6473000000000002E-2</v>
      </c>
      <c r="H188">
        <v>0.96024100000000001</v>
      </c>
    </row>
    <row r="189" spans="2:8" x14ac:dyDescent="0.35">
      <c r="B189" t="s">
        <v>96</v>
      </c>
      <c r="C189">
        <v>76.254360000000005</v>
      </c>
      <c r="D189">
        <v>58.441800000000001</v>
      </c>
      <c r="E189">
        <v>2.768907</v>
      </c>
      <c r="F189">
        <v>2.7675879999999999</v>
      </c>
      <c r="G189">
        <v>1.6763E-2</v>
      </c>
      <c r="H189">
        <v>1.016202</v>
      </c>
    </row>
    <row r="190" spans="2:8" x14ac:dyDescent="0.35">
      <c r="B190" t="s">
        <v>95</v>
      </c>
      <c r="C190">
        <v>76.321979999999996</v>
      </c>
      <c r="D190">
        <v>56.885429999999999</v>
      </c>
      <c r="E190">
        <v>2.6596549999999999</v>
      </c>
      <c r="F190">
        <v>2.650007</v>
      </c>
      <c r="G190">
        <v>1.6754999999999999E-2</v>
      </c>
      <c r="H190">
        <v>0.99795500000000004</v>
      </c>
    </row>
    <row r="191" spans="2:8" x14ac:dyDescent="0.35">
      <c r="B191" t="s">
        <v>122</v>
      </c>
      <c r="C191">
        <v>76.333240000000004</v>
      </c>
      <c r="D191">
        <v>56.618810000000003</v>
      </c>
      <c r="E191">
        <v>2.58684</v>
      </c>
      <c r="F191">
        <v>2.5459239999999999</v>
      </c>
      <c r="G191">
        <v>1.668E-2</v>
      </c>
      <c r="H191">
        <v>0.96825300000000003</v>
      </c>
    </row>
    <row r="192" spans="2:8" x14ac:dyDescent="0.35">
      <c r="B192" t="s">
        <v>111</v>
      </c>
      <c r="C192">
        <v>76.992109999999997</v>
      </c>
      <c r="D192">
        <v>61.748449999999998</v>
      </c>
      <c r="E192">
        <v>2.9255800000000001</v>
      </c>
      <c r="F192">
        <v>2.9338069999999998</v>
      </c>
      <c r="G192">
        <v>1.6930000000000001E-2</v>
      </c>
      <c r="H192">
        <v>1.044902</v>
      </c>
    </row>
    <row r="193" spans="2:8" x14ac:dyDescent="0.35">
      <c r="B193" t="s">
        <v>223</v>
      </c>
      <c r="C193">
        <v>77.520009999999999</v>
      </c>
      <c r="D193">
        <v>59.325539999999997</v>
      </c>
      <c r="E193">
        <v>2.7869380000000001</v>
      </c>
      <c r="F193">
        <v>2.7978649999999998</v>
      </c>
      <c r="G193">
        <v>1.7113E-2</v>
      </c>
      <c r="H193">
        <v>1.0386420000000001</v>
      </c>
    </row>
    <row r="194" spans="2:8" x14ac:dyDescent="0.35">
      <c r="B194" t="s">
        <v>206</v>
      </c>
      <c r="C194">
        <v>77.917450000000002</v>
      </c>
      <c r="D194">
        <v>58.810780000000001</v>
      </c>
      <c r="E194">
        <v>2.6665570000000001</v>
      </c>
      <c r="F194">
        <v>2.6700879999999998</v>
      </c>
      <c r="G194">
        <v>1.7193E-2</v>
      </c>
      <c r="H194">
        <v>1.017336</v>
      </c>
    </row>
    <row r="195" spans="2:8" x14ac:dyDescent="0.35">
      <c r="B195" t="s">
        <v>208</v>
      </c>
      <c r="C195">
        <v>78.18777</v>
      </c>
      <c r="D195">
        <v>54.546219999999998</v>
      </c>
      <c r="E195">
        <v>2.449211</v>
      </c>
      <c r="F195">
        <v>2.4165890000000001</v>
      </c>
      <c r="G195">
        <v>1.7118000000000001E-2</v>
      </c>
      <c r="H195">
        <v>1.0018069999999999</v>
      </c>
    </row>
    <row r="196" spans="2:8" x14ac:dyDescent="0.35">
      <c r="B196" t="s">
        <v>219</v>
      </c>
      <c r="C196">
        <v>78.233369999999994</v>
      </c>
      <c r="D196">
        <v>57.422699999999999</v>
      </c>
      <c r="E196">
        <v>2.555577</v>
      </c>
      <c r="F196">
        <v>2.5435509999999999</v>
      </c>
      <c r="G196">
        <v>1.7173999999999998E-2</v>
      </c>
      <c r="H196">
        <v>1.001673</v>
      </c>
    </row>
    <row r="197" spans="2:8" x14ac:dyDescent="0.35">
      <c r="B197" t="s">
        <v>201</v>
      </c>
      <c r="C197">
        <v>78.318730000000002</v>
      </c>
      <c r="D197">
        <v>56.187350000000002</v>
      </c>
      <c r="E197">
        <v>2.5326529999999998</v>
      </c>
      <c r="F197">
        <v>2.5162140000000002</v>
      </c>
      <c r="G197">
        <v>1.7174999999999999E-2</v>
      </c>
      <c r="H197">
        <v>1.0079910000000001</v>
      </c>
    </row>
    <row r="198" spans="2:8" x14ac:dyDescent="0.35">
      <c r="B198" t="s">
        <v>205</v>
      </c>
      <c r="C198">
        <v>79.043620000000004</v>
      </c>
      <c r="D198">
        <v>49.772889999999997</v>
      </c>
      <c r="E198">
        <v>2.1760169999999999</v>
      </c>
      <c r="F198">
        <v>2.124155</v>
      </c>
      <c r="G198">
        <v>1.7263000000000001E-2</v>
      </c>
      <c r="H198">
        <v>0.98676799999999998</v>
      </c>
    </row>
    <row r="199" spans="2:8" x14ac:dyDescent="0.35">
      <c r="B199" t="s">
        <v>204</v>
      </c>
      <c r="C199">
        <v>79.736519999999999</v>
      </c>
      <c r="D199">
        <v>55.747720000000001</v>
      </c>
      <c r="E199">
        <v>2.450472</v>
      </c>
      <c r="F199">
        <v>2.3947349999999998</v>
      </c>
      <c r="G199">
        <v>1.7371999999999999E-2</v>
      </c>
      <c r="H199">
        <v>0.98434699999999997</v>
      </c>
    </row>
    <row r="200" spans="2:8" x14ac:dyDescent="0.35">
      <c r="B200" t="s">
        <v>103</v>
      </c>
      <c r="C200">
        <v>79.78877</v>
      </c>
      <c r="D200">
        <v>59.680050000000001</v>
      </c>
      <c r="E200">
        <v>2.763077</v>
      </c>
      <c r="F200">
        <v>2.7474069999999999</v>
      </c>
      <c r="G200">
        <v>1.7500000000000002E-2</v>
      </c>
      <c r="H200">
        <v>1.0480210000000001</v>
      </c>
    </row>
    <row r="201" spans="2:8" x14ac:dyDescent="0.35">
      <c r="B201" t="s">
        <v>210</v>
      </c>
      <c r="C201">
        <v>81.998099999999994</v>
      </c>
      <c r="D201">
        <v>59.225320000000004</v>
      </c>
      <c r="E201">
        <v>2.6855739999999999</v>
      </c>
      <c r="F201">
        <v>2.62934</v>
      </c>
      <c r="G201">
        <v>1.7878999999999999E-2</v>
      </c>
      <c r="H201">
        <v>1.0364500000000001</v>
      </c>
    </row>
    <row r="202" spans="2:8" x14ac:dyDescent="0.35">
      <c r="B202" t="s">
        <v>100</v>
      </c>
      <c r="C202">
        <v>82.213399999999993</v>
      </c>
      <c r="D202">
        <v>59.137709999999998</v>
      </c>
      <c r="E202">
        <v>2.70377</v>
      </c>
      <c r="F202">
        <v>2.6749679999999998</v>
      </c>
      <c r="G202">
        <v>1.8016999999999998E-2</v>
      </c>
      <c r="H202">
        <v>1.0647139999999999</v>
      </c>
    </row>
    <row r="203" spans="2:8" x14ac:dyDescent="0.35">
      <c r="B203" t="s">
        <v>211</v>
      </c>
      <c r="C203">
        <v>82.948580000000007</v>
      </c>
      <c r="D203">
        <v>61.319000000000003</v>
      </c>
      <c r="E203">
        <v>2.8773550000000001</v>
      </c>
      <c r="F203">
        <v>2.8235839999999999</v>
      </c>
      <c r="G203">
        <v>1.8155999999999999E-2</v>
      </c>
      <c r="H203">
        <v>1.100444</v>
      </c>
    </row>
    <row r="204" spans="2:8" x14ac:dyDescent="0.35">
      <c r="B204" t="s">
        <v>213</v>
      </c>
      <c r="C204">
        <v>83.300319999999999</v>
      </c>
      <c r="D204">
        <v>57.406089999999999</v>
      </c>
      <c r="E204">
        <v>2.560819</v>
      </c>
      <c r="F204">
        <v>2.5183650000000002</v>
      </c>
      <c r="G204">
        <v>1.821E-2</v>
      </c>
      <c r="H204">
        <v>1.048762</v>
      </c>
    </row>
    <row r="205" spans="2:8" x14ac:dyDescent="0.35">
      <c r="B205" t="s">
        <v>199</v>
      </c>
      <c r="C205">
        <v>83.446330000000003</v>
      </c>
      <c r="D205">
        <v>63.13223</v>
      </c>
      <c r="E205">
        <v>2.970421</v>
      </c>
      <c r="F205">
        <v>2.9576630000000002</v>
      </c>
      <c r="G205">
        <v>1.8311000000000001E-2</v>
      </c>
      <c r="H205">
        <v>1.111615</v>
      </c>
    </row>
    <row r="206" spans="2:8" x14ac:dyDescent="0.35">
      <c r="B206" t="s">
        <v>105</v>
      </c>
      <c r="C206">
        <v>83.580340000000007</v>
      </c>
      <c r="D206">
        <v>61.370100000000001</v>
      </c>
      <c r="E206">
        <v>2.8202509999999998</v>
      </c>
      <c r="F206">
        <v>2.7956699999999999</v>
      </c>
      <c r="G206">
        <v>1.8325999999999999E-2</v>
      </c>
      <c r="H206">
        <v>1.0910759999999999</v>
      </c>
    </row>
    <row r="207" spans="2:8" x14ac:dyDescent="0.35">
      <c r="B207" t="s">
        <v>212</v>
      </c>
      <c r="C207">
        <v>84.959580000000003</v>
      </c>
      <c r="D207">
        <v>62.803489999999996</v>
      </c>
      <c r="E207">
        <v>2.8773469999999999</v>
      </c>
      <c r="F207">
        <v>2.8409599999999999</v>
      </c>
      <c r="G207">
        <v>1.8582999999999999E-2</v>
      </c>
      <c r="H207">
        <v>1.101845</v>
      </c>
    </row>
    <row r="208" spans="2:8" x14ac:dyDescent="0.35">
      <c r="B208" t="s">
        <v>200</v>
      </c>
      <c r="C208">
        <v>86.132320000000007</v>
      </c>
      <c r="D208">
        <v>57.396349999999998</v>
      </c>
      <c r="E208">
        <v>2.5658470000000002</v>
      </c>
      <c r="F208">
        <v>2.4975930000000002</v>
      </c>
      <c r="G208">
        <v>1.8773000000000001E-2</v>
      </c>
      <c r="H208">
        <v>1.0908610000000001</v>
      </c>
    </row>
    <row r="209" spans="2:8" x14ac:dyDescent="0.35">
      <c r="B209" t="s">
        <v>214</v>
      </c>
      <c r="C209">
        <v>86.578440000000001</v>
      </c>
      <c r="D209">
        <v>60.78304</v>
      </c>
      <c r="E209">
        <v>2.7205590000000002</v>
      </c>
      <c r="F209">
        <v>2.6597680000000001</v>
      </c>
      <c r="G209">
        <v>1.8877000000000001E-2</v>
      </c>
      <c r="H209">
        <v>1.0903579999999999</v>
      </c>
    </row>
    <row r="210" spans="2:8" x14ac:dyDescent="0.35">
      <c r="B210" t="s">
        <v>99</v>
      </c>
      <c r="C210">
        <v>87.559100000000001</v>
      </c>
      <c r="D210">
        <v>61.821370000000002</v>
      </c>
      <c r="E210">
        <v>2.813488</v>
      </c>
      <c r="F210">
        <v>2.771306</v>
      </c>
      <c r="G210">
        <v>1.9155999999999999E-2</v>
      </c>
      <c r="H210">
        <v>1.1257999999999999</v>
      </c>
    </row>
    <row r="211" spans="2:8" x14ac:dyDescent="0.35">
      <c r="B211" t="s">
        <v>116</v>
      </c>
      <c r="C211">
        <v>91.022049999999993</v>
      </c>
      <c r="D211">
        <v>78.904309999999995</v>
      </c>
      <c r="E211">
        <v>3.753269</v>
      </c>
      <c r="F211">
        <v>3.658188</v>
      </c>
      <c r="G211">
        <v>1.9698E-2</v>
      </c>
      <c r="H211">
        <v>1.239323</v>
      </c>
    </row>
    <row r="212" spans="2:8" x14ac:dyDescent="0.35">
      <c r="B212" t="s">
        <v>203</v>
      </c>
      <c r="C212">
        <v>95.735010000000003</v>
      </c>
      <c r="D212">
        <v>80.563010000000006</v>
      </c>
      <c r="E212">
        <v>3.7828979999999999</v>
      </c>
      <c r="F212">
        <v>3.6834519999999999</v>
      </c>
      <c r="G212">
        <v>2.0726999999999999E-2</v>
      </c>
      <c r="H212">
        <v>1.2921009999999999</v>
      </c>
    </row>
    <row r="213" spans="2:8" x14ac:dyDescent="0.35">
      <c r="B213" t="s">
        <v>118</v>
      </c>
      <c r="C213">
        <v>141.41550000000001</v>
      </c>
      <c r="D213">
        <v>129.65950000000001</v>
      </c>
      <c r="E213">
        <v>5.9374079999999996</v>
      </c>
      <c r="F213">
        <v>6.1506109999999996</v>
      </c>
      <c r="G213">
        <v>3.2016999999999997E-2</v>
      </c>
      <c r="H213">
        <v>1.8485309999999999</v>
      </c>
    </row>
    <row r="214" spans="2:8" x14ac:dyDescent="0.35">
      <c r="B214" t="s">
        <v>117</v>
      </c>
      <c r="C214">
        <v>213.65469999999999</v>
      </c>
      <c r="D214">
        <v>201.60210000000001</v>
      </c>
      <c r="E214">
        <v>8.9832059999999991</v>
      </c>
      <c r="F214">
        <v>9.4342570000000006</v>
      </c>
      <c r="G214">
        <v>4.9239999999999999E-2</v>
      </c>
      <c r="H214">
        <v>2.6733829999999998</v>
      </c>
    </row>
    <row r="216" spans="2:8" x14ac:dyDescent="0.35">
      <c r="B216" t="s">
        <v>241</v>
      </c>
      <c r="C216">
        <v>60.095100000000002</v>
      </c>
      <c r="D216">
        <v>42.702399999999997</v>
      </c>
      <c r="E216">
        <v>1.927125</v>
      </c>
      <c r="F216">
        <v>1.9178299999999999</v>
      </c>
      <c r="G216">
        <v>1.3200999999999999E-2</v>
      </c>
      <c r="H216">
        <v>0.77571299999999999</v>
      </c>
    </row>
    <row r="217" spans="2:8" x14ac:dyDescent="0.35">
      <c r="B217" t="s">
        <v>242</v>
      </c>
      <c r="C217">
        <v>60.98133</v>
      </c>
      <c r="D217">
        <v>43.442909999999998</v>
      </c>
      <c r="E217">
        <v>1.9589570000000001</v>
      </c>
      <c r="F217">
        <v>1.9474940000000001</v>
      </c>
      <c r="G217">
        <v>1.3388000000000001E-2</v>
      </c>
      <c r="H217">
        <v>0.785049</v>
      </c>
    </row>
    <row r="218" spans="2:8" x14ac:dyDescent="0.35">
      <c r="B218" t="s">
        <v>243</v>
      </c>
      <c r="C218">
        <v>68.31568</v>
      </c>
      <c r="D218">
        <v>48.101750000000003</v>
      </c>
      <c r="E218">
        <v>2.161216</v>
      </c>
      <c r="F218">
        <v>2.1412939999999998</v>
      </c>
      <c r="G218">
        <v>1.4978E-2</v>
      </c>
      <c r="H218">
        <v>0.87539500000000003</v>
      </c>
    </row>
    <row r="219" spans="2:8" x14ac:dyDescent="0.35">
      <c r="B219" t="s">
        <v>244</v>
      </c>
      <c r="C219" t="s">
        <v>245</v>
      </c>
      <c r="D219" t="s">
        <v>245</v>
      </c>
      <c r="E219" t="s">
        <v>245</v>
      </c>
      <c r="F219" t="s">
        <v>245</v>
      </c>
      <c r="G219" t="s">
        <v>245</v>
      </c>
      <c r="H219" t="s">
        <v>245</v>
      </c>
    </row>
    <row r="220" spans="2:8" x14ac:dyDescent="0.35">
      <c r="B220" t="s">
        <v>246</v>
      </c>
      <c r="C220">
        <v>63.302079999999997</v>
      </c>
      <c r="D220">
        <v>45.20355</v>
      </c>
      <c r="E220">
        <v>2.0257309999999999</v>
      </c>
      <c r="F220">
        <v>2.0021960000000001</v>
      </c>
      <c r="G220">
        <v>1.3868E-2</v>
      </c>
      <c r="H220">
        <v>0.80254199999999998</v>
      </c>
    </row>
    <row r="221" spans="2:8" x14ac:dyDescent="0.35">
      <c r="B221" t="s">
        <v>224</v>
      </c>
      <c r="C221">
        <v>61.355989999999998</v>
      </c>
      <c r="D221">
        <v>44.183619999999998</v>
      </c>
      <c r="E221">
        <v>1.984931</v>
      </c>
      <c r="F221">
        <v>1.9671609999999999</v>
      </c>
      <c r="G221">
        <v>1.3452E-2</v>
      </c>
      <c r="H221">
        <v>0.78166400000000003</v>
      </c>
    </row>
  </sheetData>
  <autoFilter ref="A5:G5" xr:uid="{7425E7F0-AA3E-4D9B-B642-07B909A68701}">
    <sortState xmlns:xlrd2="http://schemas.microsoft.com/office/spreadsheetml/2017/richdata2" ref="A6:G47">
      <sortCondition ref="B5"/>
    </sortState>
  </autoFilter>
  <sortState xmlns:xlrd2="http://schemas.microsoft.com/office/spreadsheetml/2017/richdata2" ref="B173:H215">
    <sortCondition ref="C173:C2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14FF-2115-4077-ADAB-6030F042966E}">
  <dimension ref="A2:G44"/>
  <sheetViews>
    <sheetView workbookViewId="0">
      <selection activeCell="A5" sqref="A5"/>
    </sheetView>
  </sheetViews>
  <sheetFormatPr defaultRowHeight="14.5" x14ac:dyDescent="0.35"/>
  <cols>
    <col min="1" max="1" width="33.1796875" customWidth="1"/>
  </cols>
  <sheetData>
    <row r="2" spans="1:7" x14ac:dyDescent="0.35">
      <c r="A2" s="8" t="s">
        <v>192</v>
      </c>
      <c r="B2" s="8" t="s">
        <v>193</v>
      </c>
      <c r="C2" s="8" t="s">
        <v>194</v>
      </c>
      <c r="D2" s="8" t="s">
        <v>195</v>
      </c>
      <c r="E2" s="8" t="s">
        <v>196</v>
      </c>
      <c r="F2" s="8" t="s">
        <v>197</v>
      </c>
      <c r="G2" s="8" t="s">
        <v>198</v>
      </c>
    </row>
    <row r="3" spans="1:7" x14ac:dyDescent="0.35">
      <c r="A3" t="s">
        <v>101</v>
      </c>
      <c r="B3">
        <v>52.322040000000001</v>
      </c>
      <c r="C3">
        <v>37.839500000000001</v>
      </c>
      <c r="D3">
        <v>1.7014959999999999</v>
      </c>
      <c r="E3">
        <v>1.697022</v>
      </c>
      <c r="F3">
        <v>1.15E-2</v>
      </c>
      <c r="G3">
        <v>0.65745699999999996</v>
      </c>
    </row>
    <row r="4" spans="1:7" x14ac:dyDescent="0.35">
      <c r="A4" t="s">
        <v>115</v>
      </c>
      <c r="B4">
        <v>56.973959999999998</v>
      </c>
      <c r="C4">
        <v>43.573680000000003</v>
      </c>
      <c r="D4">
        <v>1.8883239999999999</v>
      </c>
      <c r="E4">
        <v>1.8719539999999999</v>
      </c>
      <c r="F4">
        <v>1.2478E-2</v>
      </c>
      <c r="G4">
        <v>0.68310999999999999</v>
      </c>
    </row>
    <row r="5" spans="1:7" x14ac:dyDescent="0.35">
      <c r="A5" t="s">
        <v>113</v>
      </c>
      <c r="B5">
        <v>58.61647</v>
      </c>
      <c r="C5">
        <v>44.303260000000002</v>
      </c>
      <c r="D5">
        <v>2.043755</v>
      </c>
      <c r="E5">
        <v>2.073944</v>
      </c>
      <c r="F5">
        <v>1.2969E-2</v>
      </c>
      <c r="G5">
        <v>0.76244900000000004</v>
      </c>
    </row>
    <row r="6" spans="1:7" x14ac:dyDescent="0.35">
      <c r="A6" t="s">
        <v>222</v>
      </c>
      <c r="B6">
        <v>60.049799999999998</v>
      </c>
      <c r="C6">
        <v>48.765819999999998</v>
      </c>
      <c r="D6">
        <v>2.18899</v>
      </c>
      <c r="E6">
        <v>2.1747830000000001</v>
      </c>
      <c r="F6">
        <v>1.3147000000000001E-2</v>
      </c>
      <c r="G6">
        <v>0.76247600000000004</v>
      </c>
    </row>
    <row r="7" spans="1:7" x14ac:dyDescent="0.35">
      <c r="A7" t="s">
        <v>215</v>
      </c>
      <c r="B7">
        <v>60.223469999999999</v>
      </c>
      <c r="C7">
        <v>41.774880000000003</v>
      </c>
      <c r="D7">
        <v>1.9208909999999999</v>
      </c>
      <c r="E7">
        <v>1.923281</v>
      </c>
      <c r="F7">
        <v>1.3268E-2</v>
      </c>
      <c r="G7">
        <v>0.77910299999999999</v>
      </c>
    </row>
    <row r="8" spans="1:7" x14ac:dyDescent="0.35">
      <c r="A8" t="s">
        <v>220</v>
      </c>
      <c r="B8">
        <v>60.630699999999997</v>
      </c>
      <c r="C8">
        <v>49.306489999999997</v>
      </c>
      <c r="D8">
        <v>2.2942290000000001</v>
      </c>
      <c r="E8">
        <v>2.3325610000000001</v>
      </c>
      <c r="F8">
        <v>1.3436999999999999E-2</v>
      </c>
      <c r="G8">
        <v>0.82985799999999998</v>
      </c>
    </row>
    <row r="9" spans="1:7" x14ac:dyDescent="0.35">
      <c r="A9" t="s">
        <v>217</v>
      </c>
      <c r="B9">
        <v>62.881500000000003</v>
      </c>
      <c r="C9">
        <v>49.137360000000001</v>
      </c>
      <c r="D9">
        <v>2.1291760000000002</v>
      </c>
      <c r="E9">
        <v>2.1052789999999999</v>
      </c>
      <c r="F9">
        <v>1.3724E-2</v>
      </c>
      <c r="G9">
        <v>0.751803</v>
      </c>
    </row>
    <row r="10" spans="1:7" x14ac:dyDescent="0.35">
      <c r="A10" t="s">
        <v>207</v>
      </c>
      <c r="B10">
        <v>68.650779999999997</v>
      </c>
      <c r="C10">
        <v>52.744520000000001</v>
      </c>
      <c r="D10">
        <v>2.4170020000000001</v>
      </c>
      <c r="E10">
        <v>2.4084720000000002</v>
      </c>
      <c r="F10">
        <v>1.5091E-2</v>
      </c>
      <c r="G10">
        <v>0.89884900000000001</v>
      </c>
    </row>
    <row r="11" spans="1:7" x14ac:dyDescent="0.35">
      <c r="A11" t="s">
        <v>107</v>
      </c>
      <c r="B11">
        <v>68.847790000000003</v>
      </c>
      <c r="C11">
        <v>50.275320000000001</v>
      </c>
      <c r="D11">
        <v>2.3238110000000001</v>
      </c>
      <c r="E11">
        <v>2.3087979999999999</v>
      </c>
      <c r="F11">
        <v>1.5103999999999999E-2</v>
      </c>
      <c r="G11">
        <v>0.92436200000000002</v>
      </c>
    </row>
    <row r="12" spans="1:7" x14ac:dyDescent="0.35">
      <c r="A12" t="s">
        <v>209</v>
      </c>
      <c r="B12">
        <v>70.612399999999994</v>
      </c>
      <c r="C12">
        <v>49.47495</v>
      </c>
      <c r="D12">
        <v>2.256751</v>
      </c>
      <c r="E12">
        <v>2.235951</v>
      </c>
      <c r="F12">
        <v>1.5481999999999999E-2</v>
      </c>
      <c r="G12">
        <v>0.91834000000000005</v>
      </c>
    </row>
    <row r="13" spans="1:7" x14ac:dyDescent="0.35">
      <c r="A13" t="s">
        <v>109</v>
      </c>
      <c r="B13">
        <v>71.171270000000007</v>
      </c>
      <c r="C13">
        <v>46.356540000000003</v>
      </c>
      <c r="D13">
        <v>2.0878570000000001</v>
      </c>
      <c r="E13">
        <v>2.0659529999999999</v>
      </c>
      <c r="F13">
        <v>1.5616E-2</v>
      </c>
      <c r="G13">
        <v>0.90699799999999997</v>
      </c>
    </row>
    <row r="14" spans="1:7" x14ac:dyDescent="0.35">
      <c r="A14" t="s">
        <v>221</v>
      </c>
      <c r="B14">
        <v>72.216340000000002</v>
      </c>
      <c r="C14">
        <v>59.334440000000001</v>
      </c>
      <c r="D14">
        <v>2.7449659999999998</v>
      </c>
      <c r="E14">
        <v>2.799566</v>
      </c>
      <c r="F14">
        <v>1.6035000000000001E-2</v>
      </c>
      <c r="G14">
        <v>0.97874399999999995</v>
      </c>
    </row>
    <row r="15" spans="1:7" x14ac:dyDescent="0.35">
      <c r="A15" t="s">
        <v>202</v>
      </c>
      <c r="B15">
        <v>72.406300000000002</v>
      </c>
      <c r="C15">
        <v>51.802529999999997</v>
      </c>
      <c r="D15">
        <v>2.3858600000000001</v>
      </c>
      <c r="E15">
        <v>2.3856790000000001</v>
      </c>
      <c r="F15">
        <v>1.5916E-2</v>
      </c>
      <c r="G15">
        <v>0.96022200000000002</v>
      </c>
    </row>
    <row r="16" spans="1:7" x14ac:dyDescent="0.35">
      <c r="A16" t="s">
        <v>216</v>
      </c>
      <c r="B16">
        <v>72.682910000000007</v>
      </c>
      <c r="C16">
        <v>57.209159999999997</v>
      </c>
      <c r="D16">
        <v>2.64873</v>
      </c>
      <c r="E16">
        <v>2.6017399999999999</v>
      </c>
      <c r="F16">
        <v>1.5838000000000001E-2</v>
      </c>
      <c r="G16">
        <v>0.92719600000000002</v>
      </c>
    </row>
    <row r="17" spans="1:7" x14ac:dyDescent="0.35">
      <c r="A17" t="s">
        <v>102</v>
      </c>
      <c r="B17">
        <v>73.04083</v>
      </c>
      <c r="C17">
        <v>54.293840000000003</v>
      </c>
      <c r="D17">
        <v>2.5060959999999999</v>
      </c>
      <c r="E17">
        <v>2.546157</v>
      </c>
      <c r="F17">
        <v>1.6178000000000001E-2</v>
      </c>
      <c r="G17">
        <v>0.975352</v>
      </c>
    </row>
    <row r="18" spans="1:7" x14ac:dyDescent="0.35">
      <c r="A18" t="s">
        <v>218</v>
      </c>
      <c r="B18">
        <v>75.278440000000003</v>
      </c>
      <c r="C18">
        <v>56.23272</v>
      </c>
      <c r="D18">
        <v>2.5229210000000002</v>
      </c>
      <c r="E18">
        <v>2.4960339999999999</v>
      </c>
      <c r="F18">
        <v>1.6473000000000002E-2</v>
      </c>
      <c r="G18">
        <v>0.96024100000000001</v>
      </c>
    </row>
    <row r="19" spans="1:7" x14ac:dyDescent="0.35">
      <c r="A19" t="s">
        <v>96</v>
      </c>
      <c r="B19">
        <v>76.254360000000005</v>
      </c>
      <c r="C19">
        <v>58.441800000000001</v>
      </c>
      <c r="D19">
        <v>2.768907</v>
      </c>
      <c r="E19">
        <v>2.7675879999999999</v>
      </c>
      <c r="F19">
        <v>1.6763E-2</v>
      </c>
      <c r="G19">
        <v>1.016202</v>
      </c>
    </row>
    <row r="20" spans="1:7" x14ac:dyDescent="0.35">
      <c r="A20" t="s">
        <v>95</v>
      </c>
      <c r="B20">
        <v>76.321979999999996</v>
      </c>
      <c r="C20">
        <v>56.885429999999999</v>
      </c>
      <c r="D20">
        <v>2.6596549999999999</v>
      </c>
      <c r="E20">
        <v>2.650007</v>
      </c>
      <c r="F20">
        <v>1.6754999999999999E-2</v>
      </c>
      <c r="G20">
        <v>0.99795500000000004</v>
      </c>
    </row>
    <row r="21" spans="1:7" x14ac:dyDescent="0.35">
      <c r="A21" t="s">
        <v>122</v>
      </c>
      <c r="B21">
        <v>76.333240000000004</v>
      </c>
      <c r="C21">
        <v>56.618810000000003</v>
      </c>
      <c r="D21">
        <v>2.58684</v>
      </c>
      <c r="E21">
        <v>2.5459239999999999</v>
      </c>
      <c r="F21">
        <v>1.668E-2</v>
      </c>
      <c r="G21">
        <v>0.96825300000000003</v>
      </c>
    </row>
    <row r="22" spans="1:7" x14ac:dyDescent="0.35">
      <c r="A22" t="s">
        <v>111</v>
      </c>
      <c r="B22">
        <v>76.992109999999997</v>
      </c>
      <c r="C22">
        <v>61.748449999999998</v>
      </c>
      <c r="D22">
        <v>2.9255800000000001</v>
      </c>
      <c r="E22">
        <v>2.9338069999999998</v>
      </c>
      <c r="F22">
        <v>1.6930000000000001E-2</v>
      </c>
      <c r="G22">
        <v>1.044902</v>
      </c>
    </row>
    <row r="23" spans="1:7" x14ac:dyDescent="0.35">
      <c r="A23" t="s">
        <v>223</v>
      </c>
      <c r="B23">
        <v>77.520009999999999</v>
      </c>
      <c r="C23">
        <v>59.325539999999997</v>
      </c>
      <c r="D23">
        <v>2.7869380000000001</v>
      </c>
      <c r="E23">
        <v>2.7978649999999998</v>
      </c>
      <c r="F23">
        <v>1.7113E-2</v>
      </c>
      <c r="G23">
        <v>1.0386420000000001</v>
      </c>
    </row>
    <row r="24" spans="1:7" x14ac:dyDescent="0.35">
      <c r="A24" t="s">
        <v>206</v>
      </c>
      <c r="B24">
        <v>77.917450000000002</v>
      </c>
      <c r="C24">
        <v>58.810780000000001</v>
      </c>
      <c r="D24">
        <v>2.6665570000000001</v>
      </c>
      <c r="E24">
        <v>2.6700879999999998</v>
      </c>
      <c r="F24">
        <v>1.7193E-2</v>
      </c>
      <c r="G24">
        <v>1.017336</v>
      </c>
    </row>
    <row r="25" spans="1:7" x14ac:dyDescent="0.35">
      <c r="A25" t="s">
        <v>208</v>
      </c>
      <c r="B25">
        <v>78.18777</v>
      </c>
      <c r="C25">
        <v>54.546219999999998</v>
      </c>
      <c r="D25">
        <v>2.449211</v>
      </c>
      <c r="E25">
        <v>2.4165890000000001</v>
      </c>
      <c r="F25">
        <v>1.7118000000000001E-2</v>
      </c>
      <c r="G25">
        <v>1.0018069999999999</v>
      </c>
    </row>
    <row r="26" spans="1:7" x14ac:dyDescent="0.35">
      <c r="A26" t="s">
        <v>219</v>
      </c>
      <c r="B26">
        <v>78.233369999999994</v>
      </c>
      <c r="C26">
        <v>57.422699999999999</v>
      </c>
      <c r="D26">
        <v>2.555577</v>
      </c>
      <c r="E26">
        <v>2.5435509999999999</v>
      </c>
      <c r="F26">
        <v>1.7173999999999998E-2</v>
      </c>
      <c r="G26">
        <v>1.001673</v>
      </c>
    </row>
    <row r="27" spans="1:7" x14ac:dyDescent="0.35">
      <c r="A27" t="s">
        <v>201</v>
      </c>
      <c r="B27">
        <v>78.318730000000002</v>
      </c>
      <c r="C27">
        <v>56.187350000000002</v>
      </c>
      <c r="D27">
        <v>2.5326529999999998</v>
      </c>
      <c r="E27">
        <v>2.5162140000000002</v>
      </c>
      <c r="F27">
        <v>1.7174999999999999E-2</v>
      </c>
      <c r="G27">
        <v>1.0079910000000001</v>
      </c>
    </row>
    <row r="28" spans="1:7" x14ac:dyDescent="0.35">
      <c r="A28" t="s">
        <v>205</v>
      </c>
      <c r="B28">
        <v>79.043620000000004</v>
      </c>
      <c r="C28">
        <v>49.772889999999997</v>
      </c>
      <c r="D28">
        <v>2.1760169999999999</v>
      </c>
      <c r="E28">
        <v>2.124155</v>
      </c>
      <c r="F28">
        <v>1.7263000000000001E-2</v>
      </c>
      <c r="G28">
        <v>0.98676799999999998</v>
      </c>
    </row>
    <row r="29" spans="1:7" x14ac:dyDescent="0.35">
      <c r="A29" t="s">
        <v>204</v>
      </c>
      <c r="B29">
        <v>79.736519999999999</v>
      </c>
      <c r="C29">
        <v>55.747720000000001</v>
      </c>
      <c r="D29">
        <v>2.450472</v>
      </c>
      <c r="E29">
        <v>2.3947349999999998</v>
      </c>
      <c r="F29">
        <v>1.7371999999999999E-2</v>
      </c>
      <c r="G29">
        <v>0.98434699999999997</v>
      </c>
    </row>
    <row r="30" spans="1:7" x14ac:dyDescent="0.35">
      <c r="A30" t="s">
        <v>103</v>
      </c>
      <c r="B30">
        <v>79.78877</v>
      </c>
      <c r="C30">
        <v>59.680050000000001</v>
      </c>
      <c r="D30">
        <v>2.763077</v>
      </c>
      <c r="E30">
        <v>2.7474069999999999</v>
      </c>
      <c r="F30">
        <v>1.7500000000000002E-2</v>
      </c>
      <c r="G30">
        <v>1.0480210000000001</v>
      </c>
    </row>
    <row r="31" spans="1:7" x14ac:dyDescent="0.35">
      <c r="A31" t="s">
        <v>210</v>
      </c>
      <c r="B31">
        <v>81.998099999999994</v>
      </c>
      <c r="C31">
        <v>59.225320000000004</v>
      </c>
      <c r="D31">
        <v>2.6855739999999999</v>
      </c>
      <c r="E31">
        <v>2.62934</v>
      </c>
      <c r="F31">
        <v>1.7878999999999999E-2</v>
      </c>
      <c r="G31">
        <v>1.0364500000000001</v>
      </c>
    </row>
    <row r="32" spans="1:7" x14ac:dyDescent="0.35">
      <c r="A32" t="s">
        <v>100</v>
      </c>
      <c r="B32">
        <v>82.213399999999993</v>
      </c>
      <c r="C32">
        <v>59.137709999999998</v>
      </c>
      <c r="D32">
        <v>2.70377</v>
      </c>
      <c r="E32">
        <v>2.6749679999999998</v>
      </c>
      <c r="F32">
        <v>1.8016999999999998E-2</v>
      </c>
      <c r="G32">
        <v>1.0647139999999999</v>
      </c>
    </row>
    <row r="33" spans="1:7" x14ac:dyDescent="0.35">
      <c r="A33" t="s">
        <v>211</v>
      </c>
      <c r="B33">
        <v>82.948580000000007</v>
      </c>
      <c r="C33">
        <v>61.319000000000003</v>
      </c>
      <c r="D33">
        <v>2.8773550000000001</v>
      </c>
      <c r="E33">
        <v>2.8235839999999999</v>
      </c>
      <c r="F33">
        <v>1.8155999999999999E-2</v>
      </c>
      <c r="G33">
        <v>1.100444</v>
      </c>
    </row>
    <row r="34" spans="1:7" x14ac:dyDescent="0.35">
      <c r="A34" t="s">
        <v>213</v>
      </c>
      <c r="B34">
        <v>83.300319999999999</v>
      </c>
      <c r="C34">
        <v>57.406089999999999</v>
      </c>
      <c r="D34">
        <v>2.560819</v>
      </c>
      <c r="E34">
        <v>2.5183650000000002</v>
      </c>
      <c r="F34">
        <v>1.821E-2</v>
      </c>
      <c r="G34">
        <v>1.048762</v>
      </c>
    </row>
    <row r="35" spans="1:7" x14ac:dyDescent="0.35">
      <c r="A35" t="s">
        <v>199</v>
      </c>
      <c r="B35">
        <v>83.446330000000003</v>
      </c>
      <c r="C35">
        <v>63.13223</v>
      </c>
      <c r="D35">
        <v>2.970421</v>
      </c>
      <c r="E35">
        <v>2.9576630000000002</v>
      </c>
      <c r="F35">
        <v>1.8311000000000001E-2</v>
      </c>
      <c r="G35">
        <v>1.111615</v>
      </c>
    </row>
    <row r="36" spans="1:7" x14ac:dyDescent="0.35">
      <c r="A36" t="s">
        <v>105</v>
      </c>
      <c r="B36">
        <v>83.580340000000007</v>
      </c>
      <c r="C36">
        <v>61.370089999999998</v>
      </c>
      <c r="D36">
        <v>2.8202509999999998</v>
      </c>
      <c r="E36">
        <v>2.7956699999999999</v>
      </c>
      <c r="F36">
        <v>1.8325999999999999E-2</v>
      </c>
      <c r="G36">
        <v>1.0910759999999999</v>
      </c>
    </row>
    <row r="37" spans="1:7" x14ac:dyDescent="0.35">
      <c r="A37" t="s">
        <v>212</v>
      </c>
      <c r="B37">
        <v>84.959580000000003</v>
      </c>
      <c r="C37">
        <v>62.803489999999996</v>
      </c>
      <c r="D37">
        <v>2.8773469999999999</v>
      </c>
      <c r="E37">
        <v>2.8409599999999999</v>
      </c>
      <c r="F37">
        <v>1.8582999999999999E-2</v>
      </c>
      <c r="G37">
        <v>1.101845</v>
      </c>
    </row>
    <row r="38" spans="1:7" x14ac:dyDescent="0.35">
      <c r="A38" t="s">
        <v>200</v>
      </c>
      <c r="B38">
        <v>86.132320000000007</v>
      </c>
      <c r="C38">
        <v>57.396349999999998</v>
      </c>
      <c r="D38">
        <v>2.5658470000000002</v>
      </c>
      <c r="E38">
        <v>2.4975930000000002</v>
      </c>
      <c r="F38">
        <v>1.8773000000000001E-2</v>
      </c>
      <c r="G38">
        <v>1.0908610000000001</v>
      </c>
    </row>
    <row r="39" spans="1:7" x14ac:dyDescent="0.35">
      <c r="A39" t="s">
        <v>214</v>
      </c>
      <c r="B39">
        <v>86.578440000000001</v>
      </c>
      <c r="C39">
        <v>60.78304</v>
      </c>
      <c r="D39">
        <v>2.7205590000000002</v>
      </c>
      <c r="E39">
        <v>2.6597680000000001</v>
      </c>
      <c r="F39">
        <v>1.8877000000000001E-2</v>
      </c>
      <c r="G39">
        <v>1.0903579999999999</v>
      </c>
    </row>
    <row r="40" spans="1:7" x14ac:dyDescent="0.35">
      <c r="A40" t="s">
        <v>99</v>
      </c>
      <c r="B40">
        <v>87.559100000000001</v>
      </c>
      <c r="C40">
        <v>61.821370000000002</v>
      </c>
      <c r="D40">
        <v>2.813488</v>
      </c>
      <c r="E40">
        <v>2.771306</v>
      </c>
      <c r="F40">
        <v>1.9155999999999999E-2</v>
      </c>
      <c r="G40">
        <v>1.1257999999999999</v>
      </c>
    </row>
    <row r="41" spans="1:7" x14ac:dyDescent="0.35">
      <c r="A41" t="s">
        <v>116</v>
      </c>
      <c r="B41">
        <v>91.022090000000006</v>
      </c>
      <c r="C41">
        <v>78.904359999999997</v>
      </c>
      <c r="D41">
        <v>3.7532709999999998</v>
      </c>
      <c r="E41">
        <v>3.6581899999999998</v>
      </c>
      <c r="F41">
        <v>1.9698E-2</v>
      </c>
      <c r="G41">
        <v>1.2393240000000001</v>
      </c>
    </row>
    <row r="42" spans="1:7" x14ac:dyDescent="0.35">
      <c r="A42" t="s">
        <v>203</v>
      </c>
      <c r="B42">
        <v>95.735010000000003</v>
      </c>
      <c r="C42">
        <v>80.563010000000006</v>
      </c>
      <c r="D42">
        <v>3.7828979999999999</v>
      </c>
      <c r="E42">
        <v>3.6834519999999999</v>
      </c>
      <c r="F42">
        <v>2.0726999999999999E-2</v>
      </c>
      <c r="G42">
        <v>1.2921009999999999</v>
      </c>
    </row>
    <row r="43" spans="1:7" x14ac:dyDescent="0.35">
      <c r="A43" t="s">
        <v>118</v>
      </c>
      <c r="B43">
        <v>141.41550000000001</v>
      </c>
      <c r="C43">
        <v>129.65950000000001</v>
      </c>
      <c r="D43">
        <v>5.9374079999999996</v>
      </c>
      <c r="E43">
        <v>6.1506109999999996</v>
      </c>
      <c r="F43">
        <v>3.2016999999999997E-2</v>
      </c>
      <c r="G43">
        <v>1.8485309999999999</v>
      </c>
    </row>
    <row r="44" spans="1:7" x14ac:dyDescent="0.35">
      <c r="A44" t="s">
        <v>117</v>
      </c>
      <c r="B44">
        <v>213.65469999999999</v>
      </c>
      <c r="C44">
        <v>201.60210000000001</v>
      </c>
      <c r="D44">
        <v>8.9832049999999999</v>
      </c>
      <c r="E44">
        <v>9.4342559999999995</v>
      </c>
      <c r="F44">
        <v>4.9239999999999999E-2</v>
      </c>
      <c r="G44">
        <v>2.6733829999999998</v>
      </c>
    </row>
  </sheetData>
  <autoFilter ref="A2:G2" xr:uid="{C2C114FF-2115-4077-ADAB-6030F042966E}">
    <sortState xmlns:xlrd2="http://schemas.microsoft.com/office/spreadsheetml/2017/richdata2" ref="A3:G44">
      <sortCondition ref="B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4BA-809E-4792-A4B9-968D1478054A}">
  <sheetPr codeName="Sheet5"/>
  <dimension ref="B1:N47"/>
  <sheetViews>
    <sheetView topLeftCell="A16" workbookViewId="0">
      <selection activeCell="H48" sqref="H48"/>
    </sheetView>
  </sheetViews>
  <sheetFormatPr defaultRowHeight="14.5" x14ac:dyDescent="0.35"/>
  <cols>
    <col min="2" max="2" width="30.453125" customWidth="1"/>
    <col min="12" max="12" width="25.90625" bestFit="1" customWidth="1"/>
    <col min="13" max="13" width="16.7265625" customWidth="1"/>
    <col min="14" max="14" width="21.81640625" bestFit="1" customWidth="1"/>
  </cols>
  <sheetData>
    <row r="1" spans="2:14" ht="15" thickBot="1" x14ac:dyDescent="0.4"/>
    <row r="2" spans="2:14" ht="15.5" thickTop="1" thickBot="1" x14ac:dyDescent="0.4">
      <c r="B2" s="146"/>
      <c r="C2" s="148">
        <v>2023</v>
      </c>
      <c r="D2" s="149"/>
      <c r="E2" s="140">
        <v>2024</v>
      </c>
      <c r="F2" s="141"/>
    </row>
    <row r="3" spans="2:14" ht="15" thickBot="1" x14ac:dyDescent="0.4">
      <c r="B3" s="147"/>
      <c r="C3" s="62" t="s">
        <v>228</v>
      </c>
      <c r="D3" s="63" t="s">
        <v>229</v>
      </c>
      <c r="E3" s="64" t="s">
        <v>228</v>
      </c>
      <c r="F3" s="64" t="s">
        <v>229</v>
      </c>
    </row>
    <row r="4" spans="2:14" ht="15" thickTop="1" x14ac:dyDescent="0.35">
      <c r="B4" s="65" t="s">
        <v>230</v>
      </c>
      <c r="C4" s="66">
        <v>0.13700000000000001</v>
      </c>
      <c r="D4" s="67">
        <v>0.14799999999999999</v>
      </c>
      <c r="E4" s="68">
        <v>0.11700000000000001</v>
      </c>
      <c r="F4" s="68">
        <v>8.5999999999999993E-2</v>
      </c>
    </row>
    <row r="5" spans="2:14" x14ac:dyDescent="0.35">
      <c r="B5" s="65" t="s">
        <v>231</v>
      </c>
      <c r="C5" s="66">
        <v>9.4E-2</v>
      </c>
      <c r="D5" s="67">
        <v>0.106</v>
      </c>
      <c r="E5" s="68">
        <v>0.30299999999999999</v>
      </c>
      <c r="F5" s="68">
        <v>0.08</v>
      </c>
    </row>
    <row r="6" spans="2:14" x14ac:dyDescent="0.35">
      <c r="B6" s="69" t="s">
        <v>232</v>
      </c>
      <c r="C6" s="70">
        <v>0.121</v>
      </c>
      <c r="D6" s="71">
        <v>0.06</v>
      </c>
      <c r="E6" s="72">
        <v>0.123</v>
      </c>
      <c r="F6" s="72">
        <v>-1.0999999999999999E-2</v>
      </c>
    </row>
    <row r="7" spans="2:14" x14ac:dyDescent="0.35">
      <c r="B7" s="69" t="s">
        <v>233</v>
      </c>
      <c r="C7" s="70">
        <v>8.4000000000000005E-2</v>
      </c>
      <c r="D7" s="71">
        <v>0.122</v>
      </c>
      <c r="E7" s="72">
        <v>0.36699999999999999</v>
      </c>
      <c r="F7" s="72">
        <v>0.111</v>
      </c>
    </row>
    <row r="8" spans="2:14" ht="15" thickBot="1" x14ac:dyDescent="0.4">
      <c r="B8" s="65" t="s">
        <v>234</v>
      </c>
      <c r="C8" s="73">
        <v>0.27</v>
      </c>
      <c r="D8" s="74">
        <v>0.3</v>
      </c>
      <c r="E8" s="75">
        <v>0.39</v>
      </c>
      <c r="F8" s="75">
        <v>0.15</v>
      </c>
    </row>
    <row r="9" spans="2:14" ht="15.5" thickTop="1" thickBot="1" x14ac:dyDescent="0.4">
      <c r="B9" s="69" t="s">
        <v>232</v>
      </c>
      <c r="C9" s="70">
        <v>0.246</v>
      </c>
      <c r="D9" s="71">
        <v>0.224</v>
      </c>
      <c r="E9" s="72">
        <v>0.246</v>
      </c>
      <c r="F9" s="72">
        <v>0.105</v>
      </c>
      <c r="L9" s="146"/>
      <c r="M9" s="140">
        <v>2025</v>
      </c>
      <c r="N9" s="141"/>
    </row>
    <row r="10" spans="2:14" ht="15" thickBot="1" x14ac:dyDescent="0.4">
      <c r="B10" s="76" t="s">
        <v>233</v>
      </c>
      <c r="C10" s="77">
        <v>0.27300000000000002</v>
      </c>
      <c r="D10" s="78">
        <v>0.32600000000000001</v>
      </c>
      <c r="E10" s="79">
        <v>0.432</v>
      </c>
      <c r="F10" s="79">
        <v>0.16600000000000001</v>
      </c>
      <c r="L10" s="147"/>
      <c r="M10" s="64" t="s">
        <v>251</v>
      </c>
      <c r="N10" s="64" t="s">
        <v>252</v>
      </c>
    </row>
    <row r="11" spans="2:14" ht="15" thickTop="1" x14ac:dyDescent="0.35">
      <c r="L11" s="65" t="s">
        <v>230</v>
      </c>
      <c r="M11" s="68">
        <v>9.7060268588273768E-2</v>
      </c>
      <c r="N11" s="68">
        <v>8.5999999999999993E-2</v>
      </c>
    </row>
    <row r="12" spans="2:14" x14ac:dyDescent="0.35">
      <c r="L12" s="65" t="s">
        <v>231</v>
      </c>
      <c r="M12" s="68">
        <v>0.30299999999999999</v>
      </c>
      <c r="N12" s="68">
        <v>0.08</v>
      </c>
    </row>
    <row r="13" spans="2:14" x14ac:dyDescent="0.35">
      <c r="L13" s="69" t="s">
        <v>232</v>
      </c>
      <c r="M13" s="72">
        <v>0.123</v>
      </c>
      <c r="N13" s="72">
        <v>-1.0999999999999999E-2</v>
      </c>
    </row>
    <row r="14" spans="2:14" x14ac:dyDescent="0.35">
      <c r="L14" s="69" t="s">
        <v>233</v>
      </c>
      <c r="M14" s="72">
        <v>0.36699999999999999</v>
      </c>
      <c r="N14" s="72">
        <v>0.111</v>
      </c>
    </row>
    <row r="15" spans="2:14" x14ac:dyDescent="0.35">
      <c r="L15" s="65" t="s">
        <v>234</v>
      </c>
      <c r="M15" s="75">
        <v>0.39</v>
      </c>
      <c r="N15" s="75">
        <v>0.15</v>
      </c>
    </row>
    <row r="16" spans="2:14" x14ac:dyDescent="0.35">
      <c r="L16" s="69" t="s">
        <v>232</v>
      </c>
      <c r="M16" s="72">
        <v>0.246</v>
      </c>
      <c r="N16" s="72">
        <v>0.105</v>
      </c>
    </row>
    <row r="17" spans="3:14" ht="15" thickBot="1" x14ac:dyDescent="0.4">
      <c r="L17" s="76" t="s">
        <v>233</v>
      </c>
      <c r="M17" s="79">
        <v>0.432</v>
      </c>
      <c r="N17" s="79">
        <v>0.16600000000000001</v>
      </c>
    </row>
    <row r="18" spans="3:14" ht="15" thickTop="1" x14ac:dyDescent="0.35">
      <c r="C18" t="s">
        <v>69</v>
      </c>
      <c r="D18" t="s">
        <v>78</v>
      </c>
      <c r="E18" t="s">
        <v>80</v>
      </c>
      <c r="F18" t="s">
        <v>141</v>
      </c>
      <c r="G18" t="s">
        <v>142</v>
      </c>
      <c r="H18" t="s">
        <v>143</v>
      </c>
      <c r="I18" t="s">
        <v>83</v>
      </c>
      <c r="J18" t="s">
        <v>144</v>
      </c>
      <c r="K18" t="s">
        <v>84</v>
      </c>
      <c r="L18" t="s">
        <v>145</v>
      </c>
    </row>
    <row r="19" spans="3:14" x14ac:dyDescent="0.35">
      <c r="C19">
        <v>3431.1909999999998</v>
      </c>
      <c r="D19">
        <v>3440.8879999999999</v>
      </c>
      <c r="E19">
        <v>3508.7289999999998</v>
      </c>
      <c r="F19">
        <v>3398.424</v>
      </c>
      <c r="G19">
        <v>3393.8809999999999</v>
      </c>
      <c r="H19">
        <v>3384.2869999999998</v>
      </c>
      <c r="I19">
        <v>3319.7539999999999</v>
      </c>
      <c r="J19">
        <v>3389.5819999999999</v>
      </c>
      <c r="K19">
        <v>3307.0610000000001</v>
      </c>
      <c r="L19">
        <v>3297.2849999999999</v>
      </c>
    </row>
    <row r="21" spans="3:14" x14ac:dyDescent="0.35">
      <c r="C21" s="1">
        <v>9.0651938970120804E-2</v>
      </c>
      <c r="D21" s="1">
        <v>9.3734265734265687E-2</v>
      </c>
      <c r="E21" s="1">
        <v>0.11529847425301964</v>
      </c>
      <c r="F21" s="1">
        <v>8.023649078194528E-2</v>
      </c>
      <c r="G21" s="1">
        <v>7.8792434837889447E-2</v>
      </c>
      <c r="H21" s="1">
        <v>7.5742848061029822E-2</v>
      </c>
      <c r="I21" s="1">
        <v>5.5230133502860657E-2</v>
      </c>
      <c r="J21" s="1">
        <v>7.7425937698665015E-2</v>
      </c>
      <c r="K21" s="1">
        <v>5.1195486331850004E-2</v>
      </c>
      <c r="L21" s="1">
        <v>4.8088048315320986E-2</v>
      </c>
    </row>
    <row r="24" spans="3:14" x14ac:dyDescent="0.35">
      <c r="E24" t="s">
        <v>69</v>
      </c>
      <c r="F24" t="s">
        <v>78</v>
      </c>
      <c r="G24" t="s">
        <v>80</v>
      </c>
      <c r="H24" t="s">
        <v>141</v>
      </c>
      <c r="I24" t="s">
        <v>142</v>
      </c>
      <c r="J24" t="s">
        <v>143</v>
      </c>
      <c r="K24" t="s">
        <v>83</v>
      </c>
      <c r="L24" t="s">
        <v>144</v>
      </c>
      <c r="M24" t="s">
        <v>145</v>
      </c>
      <c r="N24" t="s">
        <v>146</v>
      </c>
    </row>
    <row r="25" spans="3:14" x14ac:dyDescent="0.35">
      <c r="E25">
        <v>3380.0340000000001</v>
      </c>
      <c r="F25">
        <v>3306.3270000000002</v>
      </c>
      <c r="G25">
        <v>3349.3249999999998</v>
      </c>
      <c r="H25">
        <v>3376.3939999999998</v>
      </c>
      <c r="I25">
        <v>3320.8009999999999</v>
      </c>
      <c r="J25">
        <v>3311.404</v>
      </c>
      <c r="K25">
        <v>3231.2420000000002</v>
      </c>
      <c r="L25">
        <v>3359.0610000000001</v>
      </c>
      <c r="M25">
        <v>3292.8850000000002</v>
      </c>
      <c r="N25">
        <v>3315.8240000000001</v>
      </c>
    </row>
    <row r="27" spans="3:14" x14ac:dyDescent="0.35">
      <c r="E27" s="1">
        <v>0.10711889944317066</v>
      </c>
      <c r="F27" s="1">
        <v>8.2976416639371164E-2</v>
      </c>
      <c r="G27" s="1">
        <v>9.7060268588273768E-2</v>
      </c>
      <c r="H27" s="1">
        <v>0.1059266295447101</v>
      </c>
      <c r="I27" s="1">
        <v>8.7717327219128727E-2</v>
      </c>
      <c r="J27" s="1">
        <v>8.4639371110383221E-2</v>
      </c>
      <c r="K27" s="1">
        <v>5.8382574516868679E-2</v>
      </c>
      <c r="L27" s="1">
        <v>0.10024926301998049</v>
      </c>
      <c r="M27" s="1">
        <v>7.8573534228627562E-2</v>
      </c>
      <c r="N27" s="1">
        <v>8.6087127415656717E-2</v>
      </c>
    </row>
    <row r="33" spans="11:14" ht="15" thickBot="1" x14ac:dyDescent="0.4"/>
    <row r="34" spans="11:14" ht="15.5" thickTop="1" thickBot="1" x14ac:dyDescent="0.4">
      <c r="K34" s="116"/>
      <c r="L34" s="142"/>
      <c r="M34" s="144">
        <v>2025</v>
      </c>
      <c r="N34" s="145"/>
    </row>
    <row r="35" spans="11:14" ht="15.5" thickTop="1" thickBot="1" x14ac:dyDescent="0.4">
      <c r="K35" s="116"/>
      <c r="L35" s="143"/>
      <c r="M35" s="119" t="s">
        <v>253</v>
      </c>
      <c r="N35" s="120" t="s">
        <v>252</v>
      </c>
    </row>
    <row r="36" spans="11:14" ht="15" thickTop="1" x14ac:dyDescent="0.35">
      <c r="K36" s="116"/>
      <c r="L36" s="8" t="s">
        <v>69</v>
      </c>
      <c r="M36" s="121">
        <v>0.10711889944317066</v>
      </c>
      <c r="N36" s="122">
        <v>9.0651938970120804E-2</v>
      </c>
    </row>
    <row r="37" spans="11:14" x14ac:dyDescent="0.35">
      <c r="K37" s="116"/>
      <c r="L37" s="65" t="s">
        <v>230</v>
      </c>
      <c r="M37" s="121">
        <v>9.7060268588273768E-2</v>
      </c>
      <c r="N37" s="122">
        <v>0.11529847425301964</v>
      </c>
    </row>
    <row r="38" spans="11:14" x14ac:dyDescent="0.35">
      <c r="K38" s="116"/>
      <c r="L38" s="118" t="s">
        <v>78</v>
      </c>
      <c r="M38" s="121">
        <v>8.2976416639371164E-2</v>
      </c>
      <c r="N38" s="122">
        <v>9.3734265734265687E-2</v>
      </c>
    </row>
    <row r="39" spans="11:14" x14ac:dyDescent="0.35">
      <c r="K39" s="116"/>
      <c r="L39" s="115" t="s">
        <v>141</v>
      </c>
      <c r="M39" s="121">
        <v>0.1059266295447101</v>
      </c>
      <c r="N39" s="122">
        <v>8.023649078194528E-2</v>
      </c>
    </row>
    <row r="40" spans="11:14" x14ac:dyDescent="0.35">
      <c r="K40" s="116"/>
      <c r="L40" s="115" t="s">
        <v>142</v>
      </c>
      <c r="M40" s="121">
        <v>8.7717327219128727E-2</v>
      </c>
      <c r="N40" s="122">
        <v>7.8792434837889447E-2</v>
      </c>
    </row>
    <row r="41" spans="11:14" x14ac:dyDescent="0.35">
      <c r="K41" s="116"/>
      <c r="L41" s="115" t="s">
        <v>143</v>
      </c>
      <c r="M41" s="121">
        <v>8.4639371110383221E-2</v>
      </c>
      <c r="N41" s="122">
        <v>7.5742848061029822E-2</v>
      </c>
    </row>
    <row r="42" spans="11:14" x14ac:dyDescent="0.35">
      <c r="K42" s="116"/>
      <c r="L42" s="115" t="s">
        <v>83</v>
      </c>
      <c r="M42" s="121">
        <v>5.8382574516868679E-2</v>
      </c>
      <c r="N42" s="122">
        <v>5.5230133502860657E-2</v>
      </c>
    </row>
    <row r="43" spans="11:14" x14ac:dyDescent="0.35">
      <c r="K43" s="116"/>
      <c r="L43" s="115" t="s">
        <v>144</v>
      </c>
      <c r="M43" s="121">
        <v>0.10024926301998049</v>
      </c>
      <c r="N43" s="122">
        <v>7.7425937698665015E-2</v>
      </c>
    </row>
    <row r="44" spans="11:14" x14ac:dyDescent="0.35">
      <c r="K44" s="116"/>
      <c r="L44" s="115" t="s">
        <v>84</v>
      </c>
      <c r="M44" s="121">
        <v>6.9161480510972817E-2</v>
      </c>
      <c r="N44" s="122">
        <v>5.1195486331850004E-2</v>
      </c>
    </row>
    <row r="45" spans="11:14" x14ac:dyDescent="0.35">
      <c r="K45" s="116"/>
      <c r="L45" s="115" t="s">
        <v>145</v>
      </c>
      <c r="M45" s="121">
        <v>7.8573534228627562E-2</v>
      </c>
      <c r="N45" s="122">
        <v>4.8088048315320986E-2</v>
      </c>
    </row>
    <row r="46" spans="11:14" ht="15" thickBot="1" x14ac:dyDescent="0.4">
      <c r="K46" s="116"/>
      <c r="L46" s="117" t="s">
        <v>146</v>
      </c>
      <c r="M46" s="123">
        <v>8.6087127415656717E-2</v>
      </c>
      <c r="N46" s="124">
        <v>7.6481881754609127E-2</v>
      </c>
    </row>
    <row r="47" spans="11:14" ht="15" thickTop="1" x14ac:dyDescent="0.35"/>
  </sheetData>
  <mergeCells count="7">
    <mergeCell ref="M9:N9"/>
    <mergeCell ref="L34:L35"/>
    <mergeCell ref="M34:N34"/>
    <mergeCell ref="B2:B3"/>
    <mergeCell ref="C2:D2"/>
    <mergeCell ref="E2:F2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2025Q1&amp;Q2</vt:lpstr>
      <vt:lpstr>Derivation of GDP CP</vt:lpstr>
      <vt:lpstr>Sheet1</vt:lpstr>
      <vt:lpstr>Seasonally adj series</vt:lpstr>
      <vt:lpstr>selection</vt:lpstr>
      <vt:lpstr>Sheet2</vt:lpstr>
      <vt:lpstr>for Econ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2026-06-16T06:51:44Z</dcterms:modified>
</cp:coreProperties>
</file>