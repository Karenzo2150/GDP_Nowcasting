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13_ncr:1_{0489D733-5A5C-470F-B023-0CF5FA0581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Q1&amp;Q2" sheetId="14" r:id="rId1"/>
    <sheet name="Derivation of GDP CP" sheetId="22" r:id="rId2"/>
    <sheet name="Sheet1" sheetId="16" state="hidden" r:id="rId3"/>
    <sheet name="Seasonally adj series" sheetId="15" r:id="rId4"/>
    <sheet name="selection" sheetId="20" r:id="rId5"/>
    <sheet name="Sheet2" sheetId="21" r:id="rId6"/>
    <sheet name="for Econ Brief" sheetId="19" r:id="rId7"/>
  </sheets>
  <definedNames>
    <definedName name="_xlnm._FilterDatabase" localSheetId="4" hidden="1">selection!$A$5:$G$5</definedName>
    <definedName name="_xlnm._FilterDatabase" localSheetId="5" hidden="1">Sheet2!$A$2:$G$2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" i="14" l="1"/>
  <c r="M48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AW107" i="14"/>
  <c r="AX107" i="14"/>
  <c r="AY107" i="14"/>
  <c r="AZ107" i="14"/>
  <c r="K107" i="14"/>
  <c r="L107" i="14"/>
  <c r="M107" i="14"/>
  <c r="N107" i="14"/>
  <c r="O107" i="14"/>
  <c r="J107" i="14"/>
  <c r="I107" i="14"/>
  <c r="H107" i="14"/>
  <c r="D107" i="14"/>
  <c r="C107" i="14"/>
  <c r="D105" i="14"/>
  <c r="C105" i="14"/>
  <c r="H63" i="14"/>
  <c r="D55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C55" i="14" s="1"/>
  <c r="N49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9" i="14"/>
  <c r="D53" i="14"/>
  <c r="C53" i="14"/>
  <c r="J55" i="14" l="1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I55" i="14"/>
  <c r="D21" i="14"/>
  <c r="D39" i="14"/>
  <c r="G48" i="14"/>
  <c r="B49" i="14"/>
  <c r="B105" i="14" s="1"/>
  <c r="B48" i="14"/>
  <c r="D48" i="14" l="1"/>
  <c r="B55" i="14" s="1"/>
  <c r="B53" i="14"/>
  <c r="G45" i="14"/>
  <c r="G46" i="14"/>
  <c r="G47" i="14"/>
  <c r="G49" i="14"/>
  <c r="F45" i="14"/>
  <c r="F46" i="14"/>
  <c r="F47" i="14"/>
  <c r="F48" i="14"/>
  <c r="F49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8" i="14"/>
  <c r="D10" i="14" l="1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40" i="14"/>
  <c r="D41" i="14"/>
  <c r="D42" i="14"/>
  <c r="D43" i="14"/>
  <c r="D44" i="14"/>
  <c r="D45" i="14"/>
  <c r="D46" i="14"/>
  <c r="D47" i="14"/>
  <c r="D49" i="14"/>
  <c r="B107" i="14" s="1"/>
  <c r="D9" i="14"/>
  <c r="C49" i="14"/>
  <c r="E81" i="15"/>
  <c r="F81" i="15"/>
  <c r="E82" i="15"/>
  <c r="F82" i="15"/>
  <c r="C81" i="15"/>
  <c r="C82" i="15"/>
  <c r="Q34" i="14" l="1"/>
  <c r="M82" i="14"/>
  <c r="M83" i="14" s="1"/>
  <c r="H95" i="14"/>
  <c r="H93" i="14"/>
  <c r="J95" i="14"/>
  <c r="C47" i="14"/>
  <c r="C14" i="22"/>
  <c r="C7" i="22"/>
  <c r="D8" i="22" s="1"/>
  <c r="C6" i="22"/>
  <c r="E6" i="22"/>
  <c r="M10" i="22"/>
  <c r="F6" i="22" s="1"/>
  <c r="J10" i="22"/>
  <c r="F5" i="22" s="1"/>
  <c r="G10" i="22"/>
  <c r="F4" i="22" s="1"/>
  <c r="D10" i="22"/>
  <c r="F3" i="22" s="1"/>
  <c r="C48" i="14" l="1"/>
  <c r="A4" i="22"/>
  <c r="A5" i="22"/>
  <c r="A3" i="22"/>
  <c r="C79" i="15" l="1"/>
  <c r="E80" i="15"/>
  <c r="F80" i="15"/>
  <c r="C80" i="15"/>
  <c r="C44" i="14" l="1"/>
  <c r="E79" i="15"/>
  <c r="I147" i="14" l="1"/>
  <c r="C43" i="14"/>
  <c r="C45" i="14" l="1"/>
  <c r="H91" i="14"/>
  <c r="C46" i="14"/>
  <c r="I60" i="14" l="1"/>
  <c r="I61" i="14"/>
  <c r="I65" i="14"/>
  <c r="I66" i="14"/>
  <c r="E78" i="15" l="1"/>
  <c r="E77" i="15"/>
  <c r="J91" i="14"/>
  <c r="J93" i="14" l="1"/>
  <c r="N8" i="14" l="1"/>
  <c r="M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C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H113" i="14"/>
  <c r="L8" i="14" l="1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C40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E75" i="15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M155" i="14"/>
  <c r="L155" i="14"/>
  <c r="K155" i="14"/>
  <c r="E74" i="15"/>
  <c r="I110" i="14" l="1"/>
  <c r="P154" i="14"/>
  <c r="I111" i="14"/>
  <c r="C41" i="14"/>
  <c r="B58" i="14" l="1"/>
  <c r="M154" i="14"/>
  <c r="M158" i="14" s="1"/>
  <c r="E71" i="15"/>
  <c r="E73" i="15"/>
  <c r="K154" i="14"/>
  <c r="K158" i="14" s="1"/>
  <c r="L154" i="14" l="1"/>
  <c r="L158" i="14" s="1"/>
  <c r="O154" i="14"/>
  <c r="O158" i="14" s="1"/>
  <c r="E72" i="15"/>
  <c r="E54" i="15"/>
  <c r="J154" i="14" l="1"/>
  <c r="N154" i="14" s="1"/>
  <c r="N157" i="14" s="1"/>
  <c r="J155" i="14"/>
  <c r="E70" i="15"/>
  <c r="E69" i="15"/>
  <c r="E68" i="15"/>
  <c r="J158" i="14" l="1"/>
  <c r="N155" i="14"/>
  <c r="N158" i="14" s="1"/>
  <c r="I143" i="14"/>
  <c r="E67" i="15" l="1"/>
  <c r="I116" i="14" l="1"/>
  <c r="I115" i="14"/>
  <c r="E63" i="15" l="1"/>
  <c r="E64" i="15"/>
  <c r="E65" i="15"/>
  <c r="E66" i="15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K147" i="14"/>
  <c r="I145" i="14" l="1"/>
  <c r="K145" i="14" l="1"/>
  <c r="K143" i="14" l="1"/>
  <c r="D8" i="14" l="1"/>
</calcChain>
</file>

<file path=xl/sharedStrings.xml><?xml version="1.0" encoding="utf-8"?>
<sst xmlns="http://schemas.openxmlformats.org/spreadsheetml/2006/main" count="708" uniqueCount="275">
  <si>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</si>
  <si>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</si>
  <si>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</si>
  <si>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</si>
  <si>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</si>
  <si>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</si>
  <si>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</si>
  <si>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</si>
  <si>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</si>
  <si>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</si>
  <si>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</si>
  <si>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</si>
  <si>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</si>
  <si>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</si>
  <si>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</si>
  <si>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</si>
  <si>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</si>
  <si>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</si>
  <si>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</si>
  <si>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</si>
  <si>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</si>
  <si>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</si>
  <si>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</si>
  <si>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</si>
  <si>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</si>
  <si>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</si>
  <si>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</si>
  <si>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</si>
  <si>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</si>
  <si>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</si>
  <si>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</si>
  <si>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</si>
  <si>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</si>
  <si>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</si>
  <si>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</si>
  <si>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</si>
  <si>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</si>
  <si>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</si>
  <si>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</si>
  <si>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</si>
  <si>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</si>
  <si>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</si>
  <si>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</si>
  <si>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</si>
  <si>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</si>
  <si>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</si>
  <si>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</si>
  <si>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</si>
  <si>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</si>
  <si>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</si>
  <si>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</si>
  <si>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</si>
  <si>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</si>
  <si>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</si>
  <si>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</si>
  <si>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</si>
  <si>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</si>
  <si>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</si>
  <si>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</si>
  <si>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</si>
  <si>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</si>
  <si>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</si>
  <si>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</si>
  <si>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</si>
  <si>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</si>
  <si>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</si>
  <si>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</si>
  <si>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</si>
  <si>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</si>
  <si>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</si>
  <si>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</si>
  <si>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</si>
  <si>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</si>
  <si>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</si>
  <si>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</si>
  <si>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</si>
  <si>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</si>
  <si>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</si>
  <si>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</si>
  <si>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</si>
  <si>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</si>
  <si>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</si>
  <si>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</si>
  <si>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</si>
  <si>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</si>
  <si>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</si>
  <si>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</si>
  <si>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</si>
  <si>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</si>
  <si>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</si>
  <si>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</si>
  <si>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</si>
  <si>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</si>
  <si>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</si>
  <si>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</si>
  <si>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</si>
  <si>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</si>
  <si>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</si>
  <si>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</si>
  <si>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</si>
  <si>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</si>
  <si>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</si>
  <si>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</si>
  <si>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</si>
  <si>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</si>
  <si>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</si>
  <si>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</si>
  <si>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</si>
  <si>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</si>
  <si>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</si>
  <si>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</si>
  <si>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</si>
  <si>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</si>
  <si>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</si>
  <si>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</si>
  <si>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</si>
  <si>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</si>
  <si>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</si>
  <si>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</si>
  <si>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</si>
  <si>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</si>
  <si>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</si>
  <si>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</si>
  <si>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</si>
  <si>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</si>
  <si>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</si>
  <si>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</si>
  <si>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</si>
  <si>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</si>
  <si>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</si>
  <si>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</si>
  <si>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</si>
  <si>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</si>
  <si>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</si>
  <si>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</si>
  <si>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</si>
  <si>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</si>
  <si>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</si>
  <si>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</si>
  <si>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</si>
  <si>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</si>
  <si>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</si>
  <si>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</si>
  <si>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</si>
  <si>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</si>
  <si>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</si>
  <si>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</si>
  <si>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</si>
  <si>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</si>
  <si>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</si>
  <si>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</si>
  <si>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</si>
  <si>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</si>
  <si>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</si>
  <si>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</si>
  <si>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</si>
  <si>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</si>
  <si>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</si>
  <si>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</si>
  <si>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</si>
  <si>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</si>
  <si>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</si>
  <si>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</si>
  <si>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</si>
  <si>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</si>
  <si>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</si>
  <si>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</si>
  <si>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</si>
  <si>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</si>
  <si>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</si>
  <si>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</si>
  <si>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</si>
  <si>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</si>
  <si>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</si>
  <si>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</si>
  <si>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</si>
  <si>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</si>
  <si>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</si>
  <si>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</si>
  <si>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</si>
  <si>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</si>
  <si>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</si>
  <si>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</si>
  <si>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</si>
  <si>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</si>
  <si>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</si>
  <si>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</si>
  <si>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</si>
  <si>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</si>
  <si>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</si>
  <si>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</si>
  <si>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</si>
  <si>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</si>
  <si>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</si>
  <si>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</si>
  <si>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</si>
  <si>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</si>
  <si>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</si>
  <si>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</si>
  <si>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</si>
  <si>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</si>
  <si>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</si>
  <si>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</si>
  <si>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</si>
  <si>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</si>
  <si>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</si>
  <si>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</si>
  <si>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</si>
  <si>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</si>
  <si>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</si>
  <si>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</si>
  <si>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</si>
  <si>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</si>
  <si>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</si>
  <si>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</si>
  <si>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</si>
  <si>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</si>
  <si>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</si>
  <si>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</si>
  <si>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</si>
  <si>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</si>
  <si>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</si>
  <si>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</si>
  <si>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</si>
  <si>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</si>
  <si>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</si>
  <si>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</si>
  <si>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</si>
  <si>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</si>
  <si>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</si>
  <si>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</si>
  <si>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</si>
  <si>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</si>
  <si>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</si>
  <si>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</si>
  <si>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</si>
  <si>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</si>
  <si>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</si>
  <si>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</si>
  <si>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</si>
  <si>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</si>
  <si>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</si>
  <si>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</si>
  <si>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</si>
  <si>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</si>
  <si>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</si>
  <si>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</si>
  <si>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</si>
  <si>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2025Q3</t>
  </si>
  <si>
    <t>Q2(April-June)-h</t>
  </si>
  <si>
    <t>Q3 (July - September)</t>
  </si>
  <si>
    <t>Q2(April-June)</t>
  </si>
  <si>
    <t>Real GDP_nowcast</t>
  </si>
  <si>
    <t>Norminal_nrebased</t>
  </si>
  <si>
    <t>non-rebased FY 23/24</t>
  </si>
  <si>
    <t>rebased FY 23/25</t>
  </si>
  <si>
    <t>Rebased 24/25</t>
  </si>
  <si>
    <t>Inflation</t>
  </si>
  <si>
    <t>Qo CPI (yoy)</t>
  </si>
  <si>
    <t>DF rebased(%yoy)</t>
  </si>
  <si>
    <t>DF_nrebased</t>
  </si>
  <si>
    <t>FY nrebased 24/24</t>
  </si>
  <si>
    <t>2025Q4</t>
  </si>
  <si>
    <t>2026Q1</t>
  </si>
  <si>
    <t>2026Q1- Variables in log max lag 4</t>
  </si>
  <si>
    <t>Monetary</t>
  </si>
  <si>
    <t>demand</t>
  </si>
  <si>
    <t>supply &amp; demand</t>
  </si>
  <si>
    <t>2026Q2</t>
  </si>
  <si>
    <t>RGDP (actual &amp; forecast)--rebased</t>
  </si>
  <si>
    <t>RGDP (actual &amp; forecast)--nonrebased</t>
  </si>
  <si>
    <t>GDP final_re</t>
  </si>
  <si>
    <t>2026 Q1</t>
  </si>
  <si>
    <t>2026Q2- Variables in log max lag 4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</si>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</sst>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.0"/>
    <numFmt numFmtId="168" formatCode="_(* #,##0.0_);_(* \(#,##0.0\);_(* &quot;-&quot;??_);_(@_)"/>
    <numFmt numFmtId="169" formatCode="_(* #,##0_);_(* \(#,##0\);_(* &quot;-&quot;??_);_(@_)"/>
    <numFmt numFmtId="170" formatCode="0.0"/>
    <numFmt numFmtId="171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C00000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6" fontId="2" fillId="2" borderId="0" xfId="0" applyNumberFormat="1" applyFont="1" applyFill="1"/>
    <xf numFmtId="166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43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7" fontId="0" fillId="0" borderId="0" xfId="0" applyNumberFormat="1"/>
    <xf numFmtId="166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8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7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6" fontId="7" fillId="4" borderId="0" xfId="1" applyNumberFormat="1" applyFont="1" applyFill="1" applyBorder="1"/>
    <xf numFmtId="169" fontId="6" fillId="4" borderId="0" xfId="2" applyNumberFormat="1" applyFont="1" applyFill="1" applyBorder="1"/>
    <xf numFmtId="169" fontId="0" fillId="0" borderId="0" xfId="2" applyNumberFormat="1" applyFont="1"/>
    <xf numFmtId="167" fontId="3" fillId="0" borderId="0" xfId="3" applyNumberFormat="1" applyFont="1" applyFill="1" applyAlignment="1">
      <alignment wrapText="1"/>
    </xf>
    <xf numFmtId="164" fontId="3" fillId="0" borderId="0" xfId="4" applyFont="1" applyFill="1" applyAlignment="1">
      <alignment wrapText="1"/>
    </xf>
    <xf numFmtId="164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6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9" fontId="0" fillId="3" borderId="0" xfId="2" applyNumberFormat="1" applyFont="1" applyFill="1"/>
    <xf numFmtId="9" fontId="10" fillId="2" borderId="0" xfId="1" applyFont="1" applyFill="1"/>
    <xf numFmtId="166" fontId="2" fillId="2" borderId="0" xfId="4" applyNumberFormat="1" applyFont="1" applyFill="1"/>
    <xf numFmtId="166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165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6" fontId="0" fillId="7" borderId="5" xfId="1" applyNumberFormat="1" applyFont="1" applyFill="1" applyBorder="1"/>
    <xf numFmtId="164" fontId="0" fillId="7" borderId="0" xfId="4" applyFont="1" applyFill="1"/>
    <xf numFmtId="166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6" fontId="0" fillId="7" borderId="8" xfId="1" applyNumberFormat="1" applyFont="1" applyFill="1" applyBorder="1"/>
    <xf numFmtId="17" fontId="3" fillId="7" borderId="0" xfId="0" applyNumberFormat="1" applyFont="1" applyFill="1"/>
    <xf numFmtId="164" fontId="3" fillId="7" borderId="0" xfId="4" applyFont="1" applyFill="1"/>
    <xf numFmtId="10" fontId="3" fillId="7" borderId="0" xfId="1" applyNumberFormat="1" applyFont="1" applyFill="1"/>
    <xf numFmtId="166" fontId="3" fillId="7" borderId="0" xfId="1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164" fontId="5" fillId="7" borderId="0" xfId="4" applyFont="1" applyFill="1"/>
    <xf numFmtId="10" fontId="5" fillId="7" borderId="0" xfId="1" applyNumberFormat="1" applyFont="1" applyFill="1"/>
    <xf numFmtId="166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6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1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6" fontId="14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6" fontId="12" fillId="8" borderId="21" xfId="0" applyNumberFormat="1" applyFont="1" applyFill="1" applyBorder="1" applyAlignment="1">
      <alignment horizontal="center" vertical="center"/>
    </xf>
    <xf numFmtId="166" fontId="12" fillId="8" borderId="16" xfId="0" applyNumberFormat="1" applyFont="1" applyFill="1" applyBorder="1" applyAlignment="1">
      <alignment horizontal="center" vertical="center"/>
    </xf>
    <xf numFmtId="166" fontId="12" fillId="8" borderId="22" xfId="0" applyNumberFormat="1" applyFont="1" applyFill="1" applyBorder="1" applyAlignment="1">
      <alignment horizontal="center" vertical="center"/>
    </xf>
    <xf numFmtId="166" fontId="12" fillId="8" borderId="13" xfId="0" applyNumberFormat="1" applyFont="1" applyFill="1" applyBorder="1" applyAlignment="1">
      <alignment horizontal="center" vertical="center"/>
    </xf>
    <xf numFmtId="3" fontId="16" fillId="9" borderId="0" xfId="1" applyNumberFormat="1" applyFont="1" applyFill="1" applyBorder="1" applyAlignment="1"/>
    <xf numFmtId="9" fontId="0" fillId="0" borderId="0" xfId="0" applyNumberFormat="1"/>
    <xf numFmtId="170" fontId="0" fillId="0" borderId="0" xfId="0" applyNumberFormat="1"/>
    <xf numFmtId="169" fontId="0" fillId="0" borderId="0" xfId="0" applyNumberFormat="1"/>
    <xf numFmtId="3" fontId="17" fillId="3" borderId="0" xfId="0" applyNumberFormat="1" applyFont="1" applyFill="1"/>
    <xf numFmtId="3" fontId="18" fillId="0" borderId="0" xfId="0" applyNumberFormat="1" applyFont="1" applyAlignment="1">
      <alignment horizontal="center" vertical="center" wrapText="1"/>
    </xf>
    <xf numFmtId="3" fontId="19" fillId="9" borderId="0" xfId="5" applyNumberFormat="1" applyFont="1" applyFill="1" applyBorder="1" applyAlignment="1"/>
    <xf numFmtId="0" fontId="0" fillId="0" borderId="0" xfId="0" applyBorder="1"/>
    <xf numFmtId="166" fontId="0" fillId="0" borderId="0" xfId="1" applyNumberFormat="1" applyFont="1" applyBorder="1"/>
    <xf numFmtId="3" fontId="20" fillId="9" borderId="0" xfId="1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3" borderId="0" xfId="0" applyFont="1" applyFill="1"/>
    <xf numFmtId="166" fontId="0" fillId="3" borderId="0" xfId="1" applyNumberFormat="1" applyFont="1" applyFill="1" applyBorder="1"/>
    <xf numFmtId="9" fontId="0" fillId="3" borderId="0" xfId="1" applyFont="1" applyFill="1"/>
    <xf numFmtId="1" fontId="0" fillId="0" borderId="0" xfId="0" applyNumberFormat="1" applyFill="1"/>
  </cellXfs>
  <cellStyles count="6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  <cellStyle name="Percent 2" xfId="5" xr:uid="{E2996CB1-D22C-4E3D-8C84-576EAEB9E763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2026Q1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'2026Q1&amp;Q2'!$B$52:$AZ$52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'2026Q1&amp;Q2'!$B$52:$AZ$52</c15:sqref>
                  </c15:fullRef>
                </c:ext>
              </c:extLst>
              <c:f>('2026Q1&amp;Q2'!$B$52:$G$52,'2026Q1&amp;Q2'!$J$52,'2026Q1&amp;Q2'!$R$52,'2026Q1&amp;Q2'!$W$52,'2026Q1&amp;Q2'!$AF$52:$AH$52,'2026Q1&amp;Q2'!$AK$52,'2026Q1&amp;Q2'!$AR$52,'2026Q1&amp;Q2'!$AT$52,'2026Q1&amp;Q2'!$AV$52:$AY$52)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'2026Q1&amp;Q2'!$B$55:$AZ$55</c15:sqref>
                  </c15:fullRef>
                </c:ext>
              </c:extLst>
              <c:f>('2026Q1&amp;Q2'!$B$55:$G$55,'2026Q1&amp;Q2'!$J$55,'2026Q1&amp;Q2'!$R$55,'2026Q1&amp;Q2'!$W$55,'2026Q1&amp;Q2'!$AF$55:$AH$55,'2026Q1&amp;Q2'!$AK$55,'2026Q1&amp;Q2'!$AR$55,'2026Q1&amp;Q2'!$AT$55,'2026Q1&amp;Q2'!$AV$55:$AY$55)</c:f>
              <c:numCache>
                <c:formatCode>0.0%</c:formatCode>
                <c:ptCount val="19"/>
                <c:pt idx="0">
                  <c:v>0.14186854088299361</c:v>
                </c:pt>
                <c:pt idx="1">
                  <c:v>-7.3696145964844417E-3</c:v>
                </c:pt>
                <c:pt idx="2">
                  <c:v>9.1283005491221036E-2</c:v>
                </c:pt>
                <c:pt idx="6">
                  <c:v>0.1229891110671153</c:v>
                </c:pt>
                <c:pt idx="7">
                  <c:v>0.13082637101564054</c:v>
                </c:pt>
                <c:pt idx="8">
                  <c:v>0.13676479904969319</c:v>
                </c:pt>
                <c:pt idx="9">
                  <c:v>0.30950999802019408</c:v>
                </c:pt>
                <c:pt idx="10">
                  <c:v>0.22945099980201955</c:v>
                </c:pt>
                <c:pt idx="11">
                  <c:v>0.35223737873688377</c:v>
                </c:pt>
                <c:pt idx="12">
                  <c:v>0.17387151059196215</c:v>
                </c:pt>
                <c:pt idx="13">
                  <c:v>0.16383013264700064</c:v>
                </c:pt>
                <c:pt idx="14">
                  <c:v>0.21151177984557501</c:v>
                </c:pt>
                <c:pt idx="15">
                  <c:v>0.13178182538111272</c:v>
                </c:pt>
                <c:pt idx="16">
                  <c:v>0.1527338143127599</c:v>
                </c:pt>
                <c:pt idx="17">
                  <c:v>0.15707741041377954</c:v>
                </c:pt>
                <c:pt idx="18">
                  <c:v>0.13285448426054236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2026Q2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'2026Q1&amp;Q2'!$B$104:$AZ$104</c:f>
              <c:strCache>
                <c:ptCount val="51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Agriculture_exp_val</c:v>
                </c:pt>
                <c:pt idx="7">
                  <c:v>Agriculture_exp_vol</c:v>
                </c:pt>
                <c:pt idx="8">
                  <c:v>cement_imports </c:v>
                </c:pt>
                <c:pt idx="9">
                  <c:v>cement_production</c:v>
                </c:pt>
                <c:pt idx="10">
                  <c:v>cpi</c:v>
                </c:pt>
                <c:pt idx="11">
                  <c:v>cpi_Food</c:v>
                </c:pt>
                <c:pt idx="12">
                  <c:v>credit_priv_sector </c:v>
                </c:pt>
                <c:pt idx="13">
                  <c:v>electricity_prod </c:v>
                </c:pt>
                <c:pt idx="14">
                  <c:v>exp_3ts_val</c:v>
                </c:pt>
                <c:pt idx="15">
                  <c:v>exp_3ts_vol</c:v>
                </c:pt>
                <c:pt idx="16">
                  <c:v>exp_val</c:v>
                </c:pt>
                <c:pt idx="17">
                  <c:v>exp_vol</c:v>
                </c:pt>
                <c:pt idx="18">
                  <c:v>flour_production </c:v>
                </c:pt>
                <c:pt idx="19">
                  <c:v>IIP</c:v>
                </c:pt>
                <c:pt idx="20">
                  <c:v>Imp_Cap_val</c:v>
                </c:pt>
                <c:pt idx="21">
                  <c:v>Imp_Cap_vol</c:v>
                </c:pt>
                <c:pt idx="22">
                  <c:v>imp_cif</c:v>
                </c:pt>
                <c:pt idx="23">
                  <c:v>Imp_consumer_val</c:v>
                </c:pt>
                <c:pt idx="24">
                  <c:v>Imp_consumer_vol</c:v>
                </c:pt>
                <c:pt idx="25">
                  <c:v>Imp_Interm_val</c:v>
                </c:pt>
                <c:pt idx="26">
                  <c:v>Imp_Interm_vol</c:v>
                </c:pt>
                <c:pt idx="27">
                  <c:v>Import_petroleum_products</c:v>
                </c:pt>
                <c:pt idx="28">
                  <c:v>imp_vol</c:v>
                </c:pt>
                <c:pt idx="29">
                  <c:v>M3</c:v>
                </c:pt>
                <c:pt idx="30">
                  <c:v>Monetary</c:v>
                </c:pt>
                <c:pt idx="31">
                  <c:v>demand</c:v>
                </c:pt>
                <c:pt idx="32">
                  <c:v>supply &amp; demand</c:v>
                </c:pt>
                <c:pt idx="33">
                  <c:v>modern_beer </c:v>
                </c:pt>
                <c:pt idx="34">
                  <c:v>ner_eop_usd</c:v>
                </c:pt>
                <c:pt idx="35">
                  <c:v>nom_CIEA</c:v>
                </c:pt>
                <c:pt idx="36">
                  <c:v>ppi_all_rwanda </c:v>
                </c:pt>
                <c:pt idx="37">
                  <c:v>real_CIEA</c:v>
                </c:pt>
                <c:pt idx="38">
                  <c:v>rice_production </c:v>
                </c:pt>
                <c:pt idx="39">
                  <c:v>soft_drinks </c:v>
                </c:pt>
                <c:pt idx="40">
                  <c:v>Total_Cement</c:v>
                </c:pt>
                <c:pt idx="41">
                  <c:v>Turnovers_Construction</c:v>
                </c:pt>
                <c:pt idx="42">
                  <c:v>Turnovers_Financial</c:v>
                </c:pt>
                <c:pt idx="43">
                  <c:v>Turnovers_Hotel</c:v>
                </c:pt>
                <c:pt idx="44">
                  <c:v>turnovers_industry</c:v>
                </c:pt>
                <c:pt idx="45">
                  <c:v>Turnovers_Manuf</c:v>
                </c:pt>
                <c:pt idx="46">
                  <c:v>turnovers_services</c:v>
                </c:pt>
                <c:pt idx="47">
                  <c:v>Turnovers_Trade</c:v>
                </c:pt>
                <c:pt idx="48">
                  <c:v>Turnovers_Transport</c:v>
                </c:pt>
                <c:pt idx="49">
                  <c:v>VAT_receipts</c:v>
                </c:pt>
                <c:pt idx="50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'2026Q1&amp;Q2'!$B$104:$AZ$104</c15:sqref>
                  </c15:fullRef>
                </c:ext>
              </c:extLst>
              <c:f>('2026Q1&amp;Q2'!$B$104:$G$104,'2026Q1&amp;Q2'!$J$104,'2026Q1&amp;Q2'!$R$104,'2026Q1&amp;Q2'!$W$104,'2026Q1&amp;Q2'!$AF$104:$AH$104,'2026Q1&amp;Q2'!$AK$104,'2026Q1&amp;Q2'!$AR$104,'2026Q1&amp;Q2'!$AT$104,'2026Q1&amp;Q2'!$AV$104:$AY$104)</c:f>
              <c:strCache>
                <c:ptCount val="19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6">
                  <c:v>cement_imports </c:v>
                </c:pt>
                <c:pt idx="7">
                  <c:v>exp_val</c:v>
                </c:pt>
                <c:pt idx="8">
                  <c:v>Imp_Cap_vol</c:v>
                </c:pt>
                <c:pt idx="9">
                  <c:v>Monetary</c:v>
                </c:pt>
                <c:pt idx="10">
                  <c:v>demand</c:v>
                </c:pt>
                <c:pt idx="11">
                  <c:v>supply &amp; demand</c:v>
                </c:pt>
                <c:pt idx="12">
                  <c:v>nom_CIEA</c:v>
                </c:pt>
                <c:pt idx="13">
                  <c:v>Turnovers_Financial</c:v>
                </c:pt>
                <c:pt idx="14">
                  <c:v>turnovers_industry</c:v>
                </c:pt>
                <c:pt idx="15">
                  <c:v>turnovers_services</c:v>
                </c:pt>
                <c:pt idx="16">
                  <c:v>Turnovers_Trade</c:v>
                </c:pt>
                <c:pt idx="17">
                  <c:v>Turnovers_Transport</c:v>
                </c:pt>
                <c:pt idx="18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'2026Q1&amp;Q2'!$B$107:$AZ$107</c15:sqref>
                  </c15:fullRef>
                </c:ext>
              </c:extLst>
              <c:f>('2026Q1&amp;Q2'!$B$107:$G$107,'2026Q1&amp;Q2'!$J$107,'2026Q1&amp;Q2'!$R$107,'2026Q1&amp;Q2'!$W$107,'2026Q1&amp;Q2'!$AF$107:$AH$107,'2026Q1&amp;Q2'!$AK$107,'2026Q1&amp;Q2'!$AR$107,'2026Q1&amp;Q2'!$AT$107,'2026Q1&amp;Q2'!$AV$107:$AY$107)</c:f>
              <c:numCache>
                <c:formatCode>0.0%</c:formatCode>
                <c:ptCount val="19"/>
                <c:pt idx="0">
                  <c:v>8.2112274368230986E-2</c:v>
                </c:pt>
                <c:pt idx="1">
                  <c:v>8.3901510604562191E-2</c:v>
                </c:pt>
                <c:pt idx="2">
                  <c:v>8.1719603058659329E-2</c:v>
                </c:pt>
                <c:pt idx="6">
                  <c:v>5.1022834640117365E-2</c:v>
                </c:pt>
                <c:pt idx="7">
                  <c:v>5.1857220216606548E-2</c:v>
                </c:pt>
                <c:pt idx="8">
                  <c:v>5.7783502792193131E-2</c:v>
                </c:pt>
                <c:pt idx="9">
                  <c:v>0.24078916967509012</c:v>
                </c:pt>
                <c:pt idx="10">
                  <c:v>8.4755577335289267E-3</c:v>
                </c:pt>
                <c:pt idx="11">
                  <c:v>0.28009187725631768</c:v>
                </c:pt>
                <c:pt idx="12">
                  <c:v>6.9508483754512573E-2</c:v>
                </c:pt>
                <c:pt idx="13">
                  <c:v>5.5438628158843706E-3</c:v>
                </c:pt>
                <c:pt idx="14">
                  <c:v>0.17873501805054159</c:v>
                </c:pt>
                <c:pt idx="15">
                  <c:v>8.5368837432310496E-2</c:v>
                </c:pt>
                <c:pt idx="16">
                  <c:v>6.0247560356498253E-2</c:v>
                </c:pt>
                <c:pt idx="17">
                  <c:v>3.875342960288819E-2</c:v>
                </c:pt>
                <c:pt idx="18">
                  <c:v>3.401913357400721E-2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'2026Q1&amp;Q2'!$H$52:$AZ$52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'2026Q1&amp;Q2'!$H$55:$AZ$55</c:f>
              <c:numCache>
                <c:formatCode>0.0%</c:formatCode>
                <c:ptCount val="45"/>
                <c:pt idx="0">
                  <c:v>0.12971629380320726</c:v>
                </c:pt>
                <c:pt idx="1">
                  <c:v>0.14581963967531175</c:v>
                </c:pt>
                <c:pt idx="2">
                  <c:v>0.1229891110671153</c:v>
                </c:pt>
                <c:pt idx="3">
                  <c:v>0.13391637717159965</c:v>
                </c:pt>
                <c:pt idx="4">
                  <c:v>0.11641635319738675</c:v>
                </c:pt>
                <c:pt idx="5">
                  <c:v>0.11427044149673349</c:v>
                </c:pt>
                <c:pt idx="6">
                  <c:v>0.12032599516184916</c:v>
                </c:pt>
                <c:pt idx="7">
                  <c:v>0.11564135660017816</c:v>
                </c:pt>
                <c:pt idx="8">
                  <c:v>0.12852652940011877</c:v>
                </c:pt>
                <c:pt idx="9">
                  <c:v>0.11748604236784788</c:v>
                </c:pt>
                <c:pt idx="10">
                  <c:v>0.13082637101564054</c:v>
                </c:pt>
                <c:pt idx="11">
                  <c:v>0.15140704810928529</c:v>
                </c:pt>
                <c:pt idx="12">
                  <c:v>-0.33595189071470999</c:v>
                </c:pt>
                <c:pt idx="13">
                  <c:v>0.12735676103741844</c:v>
                </c:pt>
                <c:pt idx="14">
                  <c:v>0.11312580429617891</c:v>
                </c:pt>
                <c:pt idx="15">
                  <c:v>0.13676479904969319</c:v>
                </c:pt>
                <c:pt idx="16">
                  <c:v>0.14391724411007734</c:v>
                </c:pt>
                <c:pt idx="17">
                  <c:v>0.11996258166699647</c:v>
                </c:pt>
                <c:pt idx="18">
                  <c:v>0.11611680855276196</c:v>
                </c:pt>
                <c:pt idx="19">
                  <c:v>0.19179311027519308</c:v>
                </c:pt>
                <c:pt idx="20">
                  <c:v>0.1899249653533952</c:v>
                </c:pt>
                <c:pt idx="21">
                  <c:v>0.16790900780785978</c:v>
                </c:pt>
                <c:pt idx="22">
                  <c:v>0.16418313205305868</c:v>
                </c:pt>
                <c:pt idx="23">
                  <c:v>0.10670560285092057</c:v>
                </c:pt>
                <c:pt idx="24">
                  <c:v>0.30950999802019408</c:v>
                </c:pt>
                <c:pt idx="25">
                  <c:v>0.22945099980201955</c:v>
                </c:pt>
                <c:pt idx="26">
                  <c:v>0.35223737873688377</c:v>
                </c:pt>
                <c:pt idx="27">
                  <c:v>-0.33539200158384475</c:v>
                </c:pt>
                <c:pt idx="28">
                  <c:v>0.13040368243912104</c:v>
                </c:pt>
                <c:pt idx="29">
                  <c:v>0.17387151059196215</c:v>
                </c:pt>
                <c:pt idx="30">
                  <c:v>0.12888585258488416</c:v>
                </c:pt>
                <c:pt idx="31">
                  <c:v>0.16343080578103342</c:v>
                </c:pt>
                <c:pt idx="32">
                  <c:v>-0.33042645020787964</c:v>
                </c:pt>
                <c:pt idx="33">
                  <c:v>-0.39555276182934074</c:v>
                </c:pt>
                <c:pt idx="34">
                  <c:v>0.21523487768511185</c:v>
                </c:pt>
                <c:pt idx="35">
                  <c:v>6.3212556146060139E-2</c:v>
                </c:pt>
                <c:pt idx="36">
                  <c:v>0.16383013264700064</c:v>
                </c:pt>
                <c:pt idx="37">
                  <c:v>7.7355177192635072E-2</c:v>
                </c:pt>
                <c:pt idx="38">
                  <c:v>0.21151177984557501</c:v>
                </c:pt>
                <c:pt idx="39">
                  <c:v>0.230757077806375</c:v>
                </c:pt>
                <c:pt idx="40">
                  <c:v>0.13178182538111272</c:v>
                </c:pt>
                <c:pt idx="41">
                  <c:v>0.1527338143127599</c:v>
                </c:pt>
                <c:pt idx="42">
                  <c:v>0.15707741041377954</c:v>
                </c:pt>
                <c:pt idx="43">
                  <c:v>0.13285448426054236</c:v>
                </c:pt>
                <c:pt idx="44">
                  <c:v>0.11813660661255199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'2026Q1&amp;Q2'!$H$104:$AZ$104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Monetary</c:v>
                </c:pt>
                <c:pt idx="25">
                  <c:v>demand</c:v>
                </c:pt>
                <c:pt idx="26">
                  <c:v>supply &amp; demand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'2026Q1&amp;Q2'!$H$107:$AZ$107</c:f>
              <c:numCache>
                <c:formatCode>0.0%</c:formatCode>
                <c:ptCount val="45"/>
                <c:pt idx="0">
                  <c:v>5.1804966014214804E-2</c:v>
                </c:pt>
                <c:pt idx="1">
                  <c:v>9.4906137184116446E-3</c:v>
                </c:pt>
                <c:pt idx="2">
                  <c:v>5.1022834640117365E-2</c:v>
                </c:pt>
                <c:pt idx="3">
                  <c:v>4.6323285198555997E-2</c:v>
                </c:pt>
                <c:pt idx="4">
                  <c:v>7.796173285198571E-2</c:v>
                </c:pt>
                <c:pt idx="5">
                  <c:v>6.8736642599278142E-2</c:v>
                </c:pt>
                <c:pt idx="6">
                  <c:v>-5.9531046931407872E-2</c:v>
                </c:pt>
                <c:pt idx="7">
                  <c:v>4.7389986885153501E-2</c:v>
                </c:pt>
                <c:pt idx="8">
                  <c:v>5.250839068140789E-2</c:v>
                </c:pt>
                <c:pt idx="9">
                  <c:v>5.3619133574007272E-2</c:v>
                </c:pt>
                <c:pt idx="10">
                  <c:v>5.1857220216606548E-2</c:v>
                </c:pt>
                <c:pt idx="11">
                  <c:v>3.6407220216606584E-2</c:v>
                </c:pt>
                <c:pt idx="12">
                  <c:v>-0.38397653429602885</c:v>
                </c:pt>
                <c:pt idx="13">
                  <c:v>2.9958483754512599E-2</c:v>
                </c:pt>
                <c:pt idx="14">
                  <c:v>3.686949458483757E-2</c:v>
                </c:pt>
                <c:pt idx="15">
                  <c:v>5.7783502792193131E-2</c:v>
                </c:pt>
                <c:pt idx="16">
                  <c:v>3.1427797833935012E-2</c:v>
                </c:pt>
                <c:pt idx="17">
                  <c:v>4.5438007671480207E-2</c:v>
                </c:pt>
                <c:pt idx="18">
                  <c:v>4.5610288808664246E-2</c:v>
                </c:pt>
                <c:pt idx="19">
                  <c:v>5.5980324909747248E-2</c:v>
                </c:pt>
                <c:pt idx="20">
                  <c:v>2.6809989846570348E-2</c:v>
                </c:pt>
                <c:pt idx="21">
                  <c:v>3.2121660649819361E-2</c:v>
                </c:pt>
                <c:pt idx="22">
                  <c:v>3.9628606582806869E-2</c:v>
                </c:pt>
                <c:pt idx="23">
                  <c:v>7.7276060469314123E-2</c:v>
                </c:pt>
                <c:pt idx="24">
                  <c:v>0.24078916967509012</c:v>
                </c:pt>
                <c:pt idx="25">
                  <c:v>8.4755577335289267E-3</c:v>
                </c:pt>
                <c:pt idx="26">
                  <c:v>0.28009187725631768</c:v>
                </c:pt>
                <c:pt idx="27">
                  <c:v>-0.37892581227436817</c:v>
                </c:pt>
                <c:pt idx="28">
                  <c:v>4.2690676472247224E-2</c:v>
                </c:pt>
                <c:pt idx="29">
                  <c:v>6.9508483754512573E-2</c:v>
                </c:pt>
                <c:pt idx="30">
                  <c:v>-0.36715306859205776</c:v>
                </c:pt>
                <c:pt idx="31">
                  <c:v>2.5337364620938496E-2</c:v>
                </c:pt>
                <c:pt idx="32">
                  <c:v>-0.38106101083032495</c:v>
                </c:pt>
                <c:pt idx="33">
                  <c:v>-0.43898231046931413</c:v>
                </c:pt>
                <c:pt idx="34">
                  <c:v>8.0581768953068567E-2</c:v>
                </c:pt>
                <c:pt idx="35">
                  <c:v>0.13363385252143511</c:v>
                </c:pt>
                <c:pt idx="36">
                  <c:v>5.5438628158843706E-3</c:v>
                </c:pt>
                <c:pt idx="37">
                  <c:v>-9.3048736462093551E-3</c:v>
                </c:pt>
                <c:pt idx="38">
                  <c:v>0.17873501805054159</c:v>
                </c:pt>
                <c:pt idx="39">
                  <c:v>5.0391241961868172E-2</c:v>
                </c:pt>
                <c:pt idx="40">
                  <c:v>8.5368837432310496E-2</c:v>
                </c:pt>
                <c:pt idx="41">
                  <c:v>6.0247560356498253E-2</c:v>
                </c:pt>
                <c:pt idx="42">
                  <c:v>3.875342960288819E-2</c:v>
                </c:pt>
                <c:pt idx="43">
                  <c:v>3.401913357400721E-2</c:v>
                </c:pt>
                <c:pt idx="44">
                  <c:v>6.5771841155234601E-2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941396709567115E-2"/>
          <c:y val="1.2887566948189782E-2"/>
          <c:w val="0.95289148142490854"/>
          <c:h val="0.87943238170477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'2026Q1&amp;Q2'!$B$3</c:f>
              <c:strCache>
                <c:ptCount val="1"/>
                <c:pt idx="0">
                  <c:v>RGDP (actual &amp; forecast)--rebased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'2026Q1&amp;Q2'!$A$4:$A$49</c:f>
              <c:strCache>
                <c:ptCount val="46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  <c:pt idx="44">
                  <c:v>2026Q1</c:v>
                </c:pt>
                <c:pt idx="45">
                  <c:v>2026Q2</c:v>
                </c:pt>
              </c:strCache>
            </c:strRef>
          </c:cat>
          <c:val>
            <c:numRef>
              <c:f>'2026Q1&amp;Q2'!$B$4:$B$49</c:f>
              <c:numCache>
                <c:formatCode>#,##0</c:formatCode>
                <c:ptCount val="46"/>
                <c:pt idx="0">
                  <c:v>2723</c:v>
                </c:pt>
                <c:pt idx="1">
                  <c:v>2858</c:v>
                </c:pt>
                <c:pt idx="2">
                  <c:v>2569</c:v>
                </c:pt>
                <c:pt idx="3">
                  <c:v>3164</c:v>
                </c:pt>
                <c:pt idx="4">
                  <c:v>2955</c:v>
                </c:pt>
                <c:pt idx="5">
                  <c:v>3059</c:v>
                </c:pt>
                <c:pt idx="6">
                  <c:v>2689</c:v>
                </c:pt>
                <c:pt idx="7">
                  <c:v>3251</c:v>
                </c:pt>
                <c:pt idx="8">
                  <c:v>3016</c:v>
                </c:pt>
                <c:pt idx="9">
                  <c:v>3213</c:v>
                </c:pt>
                <c:pt idx="10">
                  <c:v>2808</c:v>
                </c:pt>
                <c:pt idx="11">
                  <c:v>3479</c:v>
                </c:pt>
                <c:pt idx="12">
                  <c:v>3264</c:v>
                </c:pt>
                <c:pt idx="13">
                  <c:v>3433</c:v>
                </c:pt>
                <c:pt idx="14">
                  <c:v>3026</c:v>
                </c:pt>
                <c:pt idx="15">
                  <c:v>3803</c:v>
                </c:pt>
                <c:pt idx="16">
                  <c:v>3468</c:v>
                </c:pt>
                <c:pt idx="17">
                  <c:v>3885</c:v>
                </c:pt>
                <c:pt idx="18">
                  <c:v>3383</c:v>
                </c:pt>
                <c:pt idx="19">
                  <c:v>4046</c:v>
                </c:pt>
                <c:pt idx="20">
                  <c:v>3621</c:v>
                </c:pt>
                <c:pt idx="21">
                  <c:v>3451</c:v>
                </c:pt>
                <c:pt idx="22">
                  <c:v>3258</c:v>
                </c:pt>
                <c:pt idx="23">
                  <c:v>4042</c:v>
                </c:pt>
                <c:pt idx="24">
                  <c:v>3707</c:v>
                </c:pt>
                <c:pt idx="25">
                  <c:v>4070</c:v>
                </c:pt>
                <c:pt idx="26">
                  <c:v>3454</c:v>
                </c:pt>
                <c:pt idx="27">
                  <c:v>4350</c:v>
                </c:pt>
                <c:pt idx="28">
                  <c:v>4074</c:v>
                </c:pt>
                <c:pt idx="29">
                  <c:v>4541</c:v>
                </c:pt>
                <c:pt idx="30">
                  <c:v>3852</c:v>
                </c:pt>
                <c:pt idx="31">
                  <c:v>4644</c:v>
                </c:pt>
                <c:pt idx="32">
                  <c:v>4386</c:v>
                </c:pt>
                <c:pt idx="33">
                  <c:v>4659</c:v>
                </c:pt>
                <c:pt idx="34">
                  <c:v>4261</c:v>
                </c:pt>
                <c:pt idx="35">
                  <c:v>5270</c:v>
                </c:pt>
                <c:pt idx="36">
                  <c:v>4741</c:v>
                </c:pt>
                <c:pt idx="37">
                  <c:v>5137</c:v>
                </c:pt>
                <c:pt idx="38">
                  <c:v>4550</c:v>
                </c:pt>
                <c:pt idx="39">
                  <c:v>5489</c:v>
                </c:pt>
                <c:pt idx="40">
                  <c:v>5051</c:v>
                </c:pt>
                <c:pt idx="41">
                  <c:v>5540</c:v>
                </c:pt>
                <c:pt idx="42">
                  <c:v>5089</c:v>
                </c:pt>
                <c:pt idx="43">
                  <c:v>6106</c:v>
                </c:pt>
                <c:pt idx="44">
                  <c:v>5767.5780000000004</c:v>
                </c:pt>
                <c:pt idx="45">
                  <c:v>5994.902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1-4154-B4A2-505F5A31D12A}"/>
            </c:ext>
          </c:extLst>
        </c:ser>
        <c:ser>
          <c:idx val="1"/>
          <c:order val="1"/>
          <c:tx>
            <c:strRef>
              <c:f>'2026Q1&amp;Q2'!$E$3</c:f>
              <c:strCache>
                <c:ptCount val="1"/>
                <c:pt idx="0">
                  <c:v>RGDP (actual &amp; forecast)--nonrebased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'2026Q1&amp;Q2'!$A$4:$A$49</c:f>
              <c:strCache>
                <c:ptCount val="46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  <c:pt idx="42">
                  <c:v>2025Q3</c:v>
                </c:pt>
                <c:pt idx="43">
                  <c:v>2025Q4</c:v>
                </c:pt>
                <c:pt idx="44">
                  <c:v>2026Q1</c:v>
                </c:pt>
                <c:pt idx="45">
                  <c:v>2026Q2</c:v>
                </c:pt>
              </c:strCache>
            </c:strRef>
          </c:cat>
          <c:val>
            <c:numRef>
              <c:f>'2026Q1&amp;Q2'!$E$4:$E$49</c:f>
              <c:numCache>
                <c:formatCode>#,##0</c:formatCode>
                <c:ptCount val="46"/>
                <c:pt idx="0">
                  <c:v>1678</c:v>
                </c:pt>
                <c:pt idx="1">
                  <c:v>1724</c:v>
                </c:pt>
                <c:pt idx="2">
                  <c:v>1776</c:v>
                </c:pt>
                <c:pt idx="3">
                  <c:v>1808</c:v>
                </c:pt>
                <c:pt idx="4">
                  <c:v>1858</c:v>
                </c:pt>
                <c:pt idx="5">
                  <c:v>1872</c:v>
                </c:pt>
                <c:pt idx="6">
                  <c:v>1833</c:v>
                </c:pt>
                <c:pt idx="7">
                  <c:v>1841</c:v>
                </c:pt>
                <c:pt idx="8">
                  <c:v>1862</c:v>
                </c:pt>
                <c:pt idx="9">
                  <c:v>1904</c:v>
                </c:pt>
                <c:pt idx="10">
                  <c:v>1955</c:v>
                </c:pt>
                <c:pt idx="11">
                  <c:v>1973</c:v>
                </c:pt>
                <c:pt idx="12">
                  <c:v>2043</c:v>
                </c:pt>
                <c:pt idx="13">
                  <c:v>2052</c:v>
                </c:pt>
                <c:pt idx="14">
                  <c:v>2092</c:v>
                </c:pt>
                <c:pt idx="15">
                  <c:v>2162</c:v>
                </c:pt>
                <c:pt idx="16">
                  <c:v>2168</c:v>
                </c:pt>
                <c:pt idx="17">
                  <c:v>2305</c:v>
                </c:pt>
                <c:pt idx="18">
                  <c:v>2321</c:v>
                </c:pt>
                <c:pt idx="19">
                  <c:v>2344</c:v>
                </c:pt>
                <c:pt idx="20">
                  <c:v>2249</c:v>
                </c:pt>
                <c:pt idx="21">
                  <c:v>2017</c:v>
                </c:pt>
                <c:pt idx="22">
                  <c:v>2235</c:v>
                </c:pt>
                <c:pt idx="23">
                  <c:v>2329</c:v>
                </c:pt>
                <c:pt idx="24">
                  <c:v>2327</c:v>
                </c:pt>
                <c:pt idx="25">
                  <c:v>2433</c:v>
                </c:pt>
                <c:pt idx="26">
                  <c:v>2461</c:v>
                </c:pt>
                <c:pt idx="27">
                  <c:v>2568</c:v>
                </c:pt>
                <c:pt idx="28">
                  <c:v>2510</c:v>
                </c:pt>
                <c:pt idx="29">
                  <c:v>2615</c:v>
                </c:pt>
                <c:pt idx="30">
                  <c:v>2708</c:v>
                </c:pt>
                <c:pt idx="31">
                  <c:v>2755</c:v>
                </c:pt>
                <c:pt idx="32">
                  <c:v>2740</c:v>
                </c:pt>
                <c:pt idx="33">
                  <c:v>2780</c:v>
                </c:pt>
                <c:pt idx="34">
                  <c:v>2910</c:v>
                </c:pt>
                <c:pt idx="35">
                  <c:v>3031</c:v>
                </c:pt>
                <c:pt idx="36">
                  <c:v>3007</c:v>
                </c:pt>
                <c:pt idx="37">
                  <c:v>3052</c:v>
                </c:pt>
                <c:pt idx="38">
                  <c:v>3146</c:v>
                </c:pt>
                <c:pt idx="39">
                  <c:v>3274</c:v>
                </c:pt>
                <c:pt idx="40">
                  <c:v>3241</c:v>
                </c:pt>
                <c:pt idx="41">
                  <c:v>3330.0030000000002</c:v>
                </c:pt>
                <c:pt idx="42">
                  <c:v>3432.5160000000001</c:v>
                </c:pt>
                <c:pt idx="43">
                  <c:v>3523.2310000000002</c:v>
                </c:pt>
                <c:pt idx="44">
                  <c:v>3519.078</c:v>
                </c:pt>
                <c:pt idx="45">
                  <c:v>3573.3780000000002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1-4154-B4A2-505F5A31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429631"/>
        <c:axId val="1379427551"/>
      </c:barChart>
      <c:catAx>
        <c:axId val="13794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27551"/>
        <c:crosses val="autoZero"/>
        <c:auto val="1"/>
        <c:lblAlgn val="ctr"/>
        <c:lblOffset val="100"/>
        <c:noMultiLvlLbl val="0"/>
      </c:catAx>
      <c:valAx>
        <c:axId val="13794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4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5.3781356225504728E-2</c:v>
                </c:pt>
                <c:pt idx="1">
                  <c:v>0.1225232906273126</c:v>
                </c:pt>
                <c:pt idx="2">
                  <c:v>9.1274866178995051E-2</c:v>
                </c:pt>
                <c:pt idx="3">
                  <c:v>8.3110358986977495E-2</c:v>
                </c:pt>
                <c:pt idx="4">
                  <c:v>8.6307514824833342E-2</c:v>
                </c:pt>
                <c:pt idx="5">
                  <c:v>7.3965262630772299E-2</c:v>
                </c:pt>
                <c:pt idx="6">
                  <c:v>8.8642765951677971E-2</c:v>
                </c:pt>
                <c:pt idx="7">
                  <c:v>8.1987890153745857E-2</c:v>
                </c:pt>
                <c:pt idx="8">
                  <c:v>7.7695196090570962E-2</c:v>
                </c:pt>
                <c:pt idx="9">
                  <c:v>6.9036280812364792E-2</c:v>
                </c:pt>
                <c:pt idx="10">
                  <c:v>6.938665752262696E-2</c:v>
                </c:pt>
                <c:pt idx="11">
                  <c:v>6.779272304910311E-2</c:v>
                </c:pt>
                <c:pt idx="12">
                  <c:v>6.624160182084049E-2</c:v>
                </c:pt>
                <c:pt idx="13">
                  <c:v>7.4795272983268601E-2</c:v>
                </c:pt>
                <c:pt idx="14">
                  <c:v>7.1987157699254345E-2</c:v>
                </c:pt>
                <c:pt idx="15">
                  <c:v>6.9655237488180477E-2</c:v>
                </c:pt>
                <c:pt idx="16">
                  <c:v>7.0437107046090741E-2</c:v>
                </c:pt>
                <c:pt idx="17">
                  <c:v>7.5231838057686407E-2</c:v>
                </c:pt>
                <c:pt idx="18">
                  <c:v>7.6426029585772826E-2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series'!$A$54:$A$82</c15:sqref>
                  </c15:fullRef>
                </c:ext>
              </c:extLst>
              <c:f>'Seasonally adj series'!$A$62:$A$82</c:f>
              <c:strCache>
                <c:ptCount val="21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  <c:pt idx="19">
                  <c:v>2025Q4</c:v>
                </c:pt>
                <c:pt idx="20">
                  <c:v>2026Q1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series'!$F$54:$F$82</c15:sqref>
                  </c15:fullRef>
                </c:ext>
              </c:extLst>
              <c:f>'Seasonally adj series'!$F$62:$F$82</c:f>
              <c:numCache>
                <c:formatCode>0.0%</c:formatCode>
                <c:ptCount val="21"/>
                <c:pt idx="0">
                  <c:v>5.4794330970733274E-2</c:v>
                </c:pt>
                <c:pt idx="1">
                  <c:v>0.12298801535895754</c:v>
                </c:pt>
                <c:pt idx="2">
                  <c:v>9.0669855535157717E-2</c:v>
                </c:pt>
                <c:pt idx="3">
                  <c:v>8.2481892539450818E-2</c:v>
                </c:pt>
                <c:pt idx="4">
                  <c:v>8.7473344422654753E-2</c:v>
                </c:pt>
                <c:pt idx="5">
                  <c:v>7.3844044338264636E-2</c:v>
                </c:pt>
                <c:pt idx="6">
                  <c:v>8.7834724052749058E-2</c:v>
                </c:pt>
                <c:pt idx="7">
                  <c:v>8.2244749432965003E-2</c:v>
                </c:pt>
                <c:pt idx="8">
                  <c:v>7.8179969377856207E-2</c:v>
                </c:pt>
                <c:pt idx="9">
                  <c:v>6.9154617116159445E-2</c:v>
                </c:pt>
                <c:pt idx="10">
                  <c:v>6.8357571811012319E-2</c:v>
                </c:pt>
                <c:pt idx="11">
                  <c:v>6.8466334586499533E-2</c:v>
                </c:pt>
                <c:pt idx="12">
                  <c:v>6.6429624490503825E-2</c:v>
                </c:pt>
                <c:pt idx="13">
                  <c:v>7.4812720970237612E-2</c:v>
                </c:pt>
                <c:pt idx="14">
                  <c:v>7.1266517086477688E-2</c:v>
                </c:pt>
                <c:pt idx="15">
                  <c:v>7.0165192224224571E-2</c:v>
                </c:pt>
                <c:pt idx="16">
                  <c:v>7.0420729419973904E-2</c:v>
                </c:pt>
                <c:pt idx="17">
                  <c:v>7.5494484530659989E-2</c:v>
                </c:pt>
                <c:pt idx="18">
                  <c:v>7.5915685062815763E-2</c:v>
                </c:pt>
                <c:pt idx="19">
                  <c:v>8.5887489416738516E-2</c:v>
                </c:pt>
                <c:pt idx="20">
                  <c:v>9.7323103833305558E-2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1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66</xdr:row>
      <xdr:rowOff>107950</xdr:rowOff>
    </xdr:from>
    <xdr:to>
      <xdr:col>7</xdr:col>
      <xdr:colOff>1421130</xdr:colOff>
      <xdr:row>87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117</xdr:row>
      <xdr:rowOff>3811</xdr:rowOff>
    </xdr:from>
    <xdr:to>
      <xdr:col>9</xdr:col>
      <xdr:colOff>49530</xdr:colOff>
      <xdr:row>139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857249</xdr:colOff>
      <xdr:row>56</xdr:row>
      <xdr:rowOff>106680</xdr:rowOff>
    </xdr:from>
    <xdr:to>
      <xdr:col>23</xdr:col>
      <xdr:colOff>0</xdr:colOff>
      <xdr:row>78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742949</xdr:colOff>
      <xdr:row>110</xdr:row>
      <xdr:rowOff>83184</xdr:rowOff>
    </xdr:from>
    <xdr:to>
      <xdr:col>26</xdr:col>
      <xdr:colOff>476249</xdr:colOff>
      <xdr:row>137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431798</xdr:colOff>
      <xdr:row>18</xdr:row>
      <xdr:rowOff>78581</xdr:rowOff>
    </xdr:from>
    <xdr:to>
      <xdr:col>30</xdr:col>
      <xdr:colOff>492917</xdr:colOff>
      <xdr:row>48</xdr:row>
      <xdr:rowOff>121443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1990B2-9965-469E-B265-FDDBD6A96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1026401</xdr:colOff>
      <xdr:row>36</xdr:row>
      <xdr:rowOff>83973</xdr:rowOff>
    </xdr:from>
    <xdr:to>
      <xdr:col>15</xdr:col>
      <xdr:colOff>374540</xdr:colOff>
      <xdr:row>63</xdr:row>
      <xdr:rowOff>98534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B159"/>
  <sheetViews>
    <sheetView tabSelected="1" zoomScale="80" zoomScaleNormal="80" workbookViewId="0">
      <pane ySplit="3" topLeftCell="A115" activePane="bottomLeft" state="frozen"/>
      <selection pane="bottomLeft" activeCell="L47" sqref="L47"/>
    </sheetView>
  </sheetViews>
  <sheetFormatPr defaultRowHeight="14.5" x14ac:dyDescent="0.35"/>
  <cols>
    <col min="1" max="1" width="12.7265625" customWidth="1"/>
    <col min="2" max="2" width="11.26953125" customWidth="1"/>
    <col min="3" max="3" width="12.1796875" bestFit="1" customWidth="1"/>
    <col min="4" max="4" width="13.26953125" bestFit="1" customWidth="1"/>
    <col min="5" max="7" width="13.26953125" customWidth="1"/>
    <col min="8" max="8" width="20.1796875" customWidth="1"/>
    <col min="9" max="9" width="18.26953125" customWidth="1"/>
    <col min="10" max="10" width="15.7265625" bestFit="1" customWidth="1"/>
    <col min="11" max="11" width="18.7265625" bestFit="1" customWidth="1"/>
    <col min="12" max="12" width="17.453125" customWidth="1"/>
    <col min="13" max="13" width="13.54296875" bestFit="1" customWidth="1"/>
    <col min="14" max="14" width="11.54296875" customWidth="1"/>
    <col min="15" max="15" width="11.81640625" bestFit="1" customWidth="1"/>
    <col min="16" max="16" width="14.453125" bestFit="1" customWidth="1"/>
    <col min="17" max="17" width="15.1796875" bestFit="1" customWidth="1"/>
    <col min="18" max="19" width="11.54296875" customWidth="1"/>
    <col min="20" max="21" width="16.1796875" bestFit="1" customWidth="1"/>
    <col min="22" max="22" width="17.453125" bestFit="1" customWidth="1"/>
    <col min="23" max="23" width="13.7265625" bestFit="1" customWidth="1"/>
    <col min="24" max="24" width="12.26953125" customWidth="1"/>
    <col min="25" max="25" width="11.81640625" customWidth="1"/>
    <col min="26" max="26" width="12.7265625" customWidth="1"/>
    <col min="27" max="27" width="10.453125" customWidth="1"/>
    <col min="28" max="28" width="11.26953125" customWidth="1"/>
    <col min="32" max="34" width="9.54296875" bestFit="1" customWidth="1"/>
  </cols>
  <sheetData>
    <row r="2" spans="1:15" x14ac:dyDescent="0.35">
      <c r="A2" s="5" t="s">
        <v>8</v>
      </c>
      <c r="B2" s="5"/>
      <c r="H2" t="s">
        <v>271</v>
      </c>
      <c r="I2" t="s">
        <v>238</v>
      </c>
    </row>
    <row r="3" spans="1:15" ht="15" thickBot="1" x14ac:dyDescent="0.4">
      <c r="B3" s="52" t="s">
        <v>269</v>
      </c>
      <c r="C3" s="109" t="s">
        <v>172</v>
      </c>
      <c r="D3" s="52" t="s">
        <v>173</v>
      </c>
      <c r="E3" s="52" t="s">
        <v>270</v>
      </c>
      <c r="F3" s="109" t="s">
        <v>172</v>
      </c>
      <c r="G3" s="52" t="s">
        <v>173</v>
      </c>
      <c r="H3" s="52" t="s">
        <v>190</v>
      </c>
      <c r="I3" s="109" t="s">
        <v>171</v>
      </c>
      <c r="J3" s="107" t="s">
        <v>174</v>
      </c>
      <c r="K3" s="107" t="s">
        <v>175</v>
      </c>
      <c r="L3" s="108" t="s">
        <v>237</v>
      </c>
      <c r="M3" s="107" t="s">
        <v>236</v>
      </c>
      <c r="N3" s="107" t="s">
        <v>235</v>
      </c>
    </row>
    <row r="4" spans="1:15" x14ac:dyDescent="0.35">
      <c r="A4" s="38" t="s">
        <v>0</v>
      </c>
      <c r="B4" s="131">
        <v>2723</v>
      </c>
      <c r="C4" s="40"/>
      <c r="D4" s="41"/>
      <c r="E4" s="125">
        <v>1678</v>
      </c>
      <c r="F4" s="132"/>
      <c r="G4" s="132"/>
      <c r="H4" s="3">
        <v>2732.78271484375</v>
      </c>
      <c r="I4" s="37">
        <v>2756.018</v>
      </c>
      <c r="J4" s="37">
        <v>3225.84</v>
      </c>
      <c r="K4" s="37">
        <v>2708.1640000000002</v>
      </c>
    </row>
    <row r="5" spans="1:15" x14ac:dyDescent="0.35">
      <c r="A5" s="42" t="s">
        <v>1</v>
      </c>
      <c r="B5" s="131">
        <v>2858</v>
      </c>
      <c r="C5" s="44">
        <f t="shared" ref="C5:C21" si="0">B5/B4-1</f>
        <v>4.9577671685640867E-2</v>
      </c>
      <c r="D5" s="45"/>
      <c r="E5" s="125">
        <v>1724</v>
      </c>
      <c r="F5" s="132"/>
      <c r="G5" s="132"/>
      <c r="H5" s="3">
        <v>2813.80249023437</v>
      </c>
      <c r="I5" s="37">
        <v>2805.9033203125</v>
      </c>
      <c r="J5" s="37">
        <v>3372.62573242187</v>
      </c>
      <c r="K5" s="37">
        <v>2785.9</v>
      </c>
    </row>
    <row r="6" spans="1:15" x14ac:dyDescent="0.35">
      <c r="A6" s="42" t="s">
        <v>2</v>
      </c>
      <c r="B6" s="131">
        <v>2569</v>
      </c>
      <c r="C6" s="44">
        <f t="shared" si="0"/>
        <v>-0.10111966410076978</v>
      </c>
      <c r="D6" s="45"/>
      <c r="E6" s="125">
        <v>1776</v>
      </c>
      <c r="F6" s="132"/>
      <c r="G6" s="132"/>
      <c r="H6" s="3">
        <v>2783.4830000000002</v>
      </c>
      <c r="I6" s="37">
        <v>2851.087</v>
      </c>
      <c r="J6" s="37">
        <v>3276.8649999999998</v>
      </c>
      <c r="K6" s="37">
        <v>2758.84838867187</v>
      </c>
    </row>
    <row r="7" spans="1:15" x14ac:dyDescent="0.35">
      <c r="A7" s="42" t="s">
        <v>3</v>
      </c>
      <c r="B7" s="131">
        <v>3164</v>
      </c>
      <c r="C7" s="44">
        <f t="shared" si="0"/>
        <v>0.23160762942779289</v>
      </c>
      <c r="D7" s="45"/>
      <c r="E7" s="125">
        <v>1808</v>
      </c>
      <c r="F7" s="132"/>
      <c r="G7" s="132"/>
      <c r="H7" s="3">
        <v>2998.5569999999998</v>
      </c>
      <c r="I7" s="37">
        <v>2914.9830000000002</v>
      </c>
      <c r="J7" s="37">
        <v>3345.58</v>
      </c>
      <c r="K7" s="37">
        <v>2981.23022460937</v>
      </c>
    </row>
    <row r="8" spans="1:15" x14ac:dyDescent="0.35">
      <c r="A8" s="46" t="s">
        <v>4</v>
      </c>
      <c r="B8" s="131">
        <v>2955</v>
      </c>
      <c r="C8" s="44">
        <f t="shared" si="0"/>
        <v>-6.6055625790139016E-2</v>
      </c>
      <c r="D8" s="47">
        <f>B8/B4-1</f>
        <v>8.5200146896804885E-2</v>
      </c>
      <c r="E8" s="125">
        <v>1858</v>
      </c>
      <c r="F8" s="133">
        <f>E8/E7-1</f>
        <v>2.7654867256637239E-2</v>
      </c>
      <c r="G8" s="133">
        <f>E8/E4-1</f>
        <v>0.10727056019070313</v>
      </c>
      <c r="H8" s="3">
        <v>2928.24951171875</v>
      </c>
      <c r="I8" s="37">
        <v>2950.3789999999999</v>
      </c>
      <c r="J8" s="37">
        <v>3473.04663085937</v>
      </c>
      <c r="K8" s="37">
        <v>2901.04760742187</v>
      </c>
      <c r="L8" s="1">
        <f>H8/H4-1</f>
        <v>7.1526651501883531E-2</v>
      </c>
      <c r="M8" s="80">
        <f>K8/K4-1</f>
        <v>7.1223015822479585E-2</v>
      </c>
      <c r="N8" s="80">
        <f>J8/J4-1</f>
        <v>7.6633258580515395E-2</v>
      </c>
      <c r="O8" s="81"/>
    </row>
    <row r="9" spans="1:15" x14ac:dyDescent="0.35">
      <c r="A9" s="48" t="s">
        <v>5</v>
      </c>
      <c r="B9" s="131">
        <v>3059</v>
      </c>
      <c r="C9" s="44">
        <f t="shared" si="0"/>
        <v>3.5194585448392601E-2</v>
      </c>
      <c r="D9" s="47">
        <f>B9/B5-1</f>
        <v>7.0328901329601123E-2</v>
      </c>
      <c r="E9" s="125">
        <v>1872</v>
      </c>
      <c r="F9" s="133">
        <f t="shared" ref="F9:F49" si="1">E9/E8-1</f>
        <v>7.5349838536060698E-3</v>
      </c>
      <c r="G9" s="133">
        <f t="shared" ref="G9:G49" si="2">E9/E5-1</f>
        <v>8.5846867749419964E-2</v>
      </c>
      <c r="H9" s="3">
        <v>2994.67358398437</v>
      </c>
      <c r="I9" s="37">
        <v>2984.396484375</v>
      </c>
      <c r="J9" s="37">
        <v>3529.3232421875</v>
      </c>
      <c r="K9" s="37">
        <v>2967.97827148437</v>
      </c>
      <c r="L9" s="1">
        <f t="shared" ref="L9:L49" si="3">H9/H5-1</f>
        <v>6.4279953684643454E-2</v>
      </c>
      <c r="M9" s="80">
        <f t="shared" ref="M9:M49" si="4">K9/K5-1</f>
        <v>6.5357073651017616E-2</v>
      </c>
      <c r="N9" s="80">
        <f t="shared" ref="N9:N49" si="5">J9/J5-1</f>
        <v>4.6461576883334299E-2</v>
      </c>
      <c r="O9" s="81"/>
    </row>
    <row r="10" spans="1:15" x14ac:dyDescent="0.35">
      <c r="A10" s="48" t="s">
        <v>6</v>
      </c>
      <c r="B10" s="131">
        <v>2689</v>
      </c>
      <c r="C10" s="44">
        <f t="shared" si="0"/>
        <v>-0.12095456031382801</v>
      </c>
      <c r="D10" s="47">
        <f t="shared" ref="D10:D31" si="6">B10/B6-1</f>
        <v>4.6710782405605222E-2</v>
      </c>
      <c r="E10" s="125">
        <v>1833</v>
      </c>
      <c r="F10" s="133">
        <f t="shared" si="1"/>
        <v>-2.083333333333337E-2</v>
      </c>
      <c r="G10" s="133">
        <f t="shared" si="2"/>
        <v>3.2094594594594517E-2</v>
      </c>
      <c r="H10" s="3">
        <v>2937.5439999999999</v>
      </c>
      <c r="I10" s="37">
        <v>3012.322265625</v>
      </c>
      <c r="J10" s="37">
        <v>3415.27465820312</v>
      </c>
      <c r="K10" s="37">
        <v>2913.6904296875</v>
      </c>
      <c r="L10" s="1">
        <f t="shared" si="3"/>
        <v>5.5348281272060929E-2</v>
      </c>
      <c r="M10" s="80">
        <f t="shared" si="4"/>
        <v>5.6125607210395501E-2</v>
      </c>
      <c r="N10" s="80">
        <f t="shared" si="5"/>
        <v>4.2238437715047761E-2</v>
      </c>
      <c r="O10" s="81"/>
    </row>
    <row r="11" spans="1:15" x14ac:dyDescent="0.35">
      <c r="A11" s="48" t="s">
        <v>7</v>
      </c>
      <c r="B11" s="131">
        <v>3251</v>
      </c>
      <c r="C11" s="44">
        <f t="shared" si="0"/>
        <v>0.20899962811454076</v>
      </c>
      <c r="D11" s="47">
        <f t="shared" si="6"/>
        <v>2.7496839443742038E-2</v>
      </c>
      <c r="E11" s="125">
        <v>1841</v>
      </c>
      <c r="F11" s="133">
        <f t="shared" si="1"/>
        <v>4.3644298963447792E-3</v>
      </c>
      <c r="G11" s="133">
        <f t="shared" si="2"/>
        <v>1.8252212389380462E-2</v>
      </c>
      <c r="H11" s="3">
        <v>3138.58251953125</v>
      </c>
      <c r="I11" s="37">
        <v>3053.6579999999999</v>
      </c>
      <c r="J11" s="37">
        <v>3414.22875976562</v>
      </c>
      <c r="K11" s="37">
        <v>3124.8193359375</v>
      </c>
      <c r="L11" s="1">
        <f t="shared" si="3"/>
        <v>4.6697634739393035E-2</v>
      </c>
      <c r="M11" s="80">
        <f t="shared" si="4"/>
        <v>4.8164381986615767E-2</v>
      </c>
      <c r="N11" s="80">
        <f t="shared" si="5"/>
        <v>2.0519240241040348E-2</v>
      </c>
      <c r="O11" s="81"/>
    </row>
    <row r="12" spans="1:15" x14ac:dyDescent="0.35">
      <c r="A12" s="48" t="s">
        <v>9</v>
      </c>
      <c r="B12" s="131">
        <v>3016</v>
      </c>
      <c r="C12" s="44">
        <f t="shared" si="0"/>
        <v>-7.2285450630575232E-2</v>
      </c>
      <c r="D12" s="47">
        <f t="shared" si="6"/>
        <v>2.0642978003384105E-2</v>
      </c>
      <c r="E12" s="125">
        <v>1862</v>
      </c>
      <c r="F12" s="133">
        <f t="shared" si="1"/>
        <v>1.1406844106463865E-2</v>
      </c>
      <c r="G12" s="133">
        <f t="shared" si="2"/>
        <v>2.1528525296017342E-3</v>
      </c>
      <c r="H12" s="3">
        <v>3083.0576171875</v>
      </c>
      <c r="I12" s="37">
        <v>3102.556</v>
      </c>
      <c r="J12" s="37">
        <v>3394.027</v>
      </c>
      <c r="K12" s="37">
        <v>3067.53076171875</v>
      </c>
      <c r="L12" s="1">
        <f t="shared" si="3"/>
        <v>5.2867115609244841E-2</v>
      </c>
      <c r="M12" s="80">
        <f t="shared" si="4"/>
        <v>5.7387253442845676E-2</v>
      </c>
      <c r="N12" s="80">
        <f t="shared" si="5"/>
        <v>-2.2752251627504716E-2</v>
      </c>
      <c r="O12" s="81"/>
    </row>
    <row r="13" spans="1:15" x14ac:dyDescent="0.35">
      <c r="A13" s="48" t="s">
        <v>46</v>
      </c>
      <c r="B13" s="131">
        <v>3213</v>
      </c>
      <c r="C13" s="44">
        <f t="shared" si="0"/>
        <v>6.5318302387267879E-2</v>
      </c>
      <c r="D13" s="47">
        <f t="shared" si="6"/>
        <v>5.034324942791768E-2</v>
      </c>
      <c r="E13" s="125">
        <v>1904</v>
      </c>
      <c r="F13" s="133">
        <f t="shared" si="1"/>
        <v>2.2556390977443552E-2</v>
      </c>
      <c r="G13" s="133">
        <f t="shared" si="2"/>
        <v>1.7094017094017033E-2</v>
      </c>
      <c r="H13" s="3">
        <v>3163.2159999999999</v>
      </c>
      <c r="I13" s="37">
        <v>3149.20947265625</v>
      </c>
      <c r="J13" s="37">
        <v>3419.69</v>
      </c>
      <c r="K13" s="37">
        <v>3150.41040039062</v>
      </c>
      <c r="L13" s="1">
        <f t="shared" si="3"/>
        <v>5.6280730199445239E-2</v>
      </c>
      <c r="M13" s="80">
        <f t="shared" si="4"/>
        <v>6.1466800703702695E-2</v>
      </c>
      <c r="N13" s="80">
        <f t="shared" si="5"/>
        <v>-3.106353106935833E-2</v>
      </c>
      <c r="O13" s="81"/>
    </row>
    <row r="14" spans="1:15" x14ac:dyDescent="0.35">
      <c r="A14" s="48" t="s">
        <v>47</v>
      </c>
      <c r="B14" s="131">
        <v>2808</v>
      </c>
      <c r="C14" s="44">
        <f t="shared" si="0"/>
        <v>-0.12605042016806722</v>
      </c>
      <c r="D14" s="47">
        <f t="shared" si="6"/>
        <v>4.4254369654146419E-2</v>
      </c>
      <c r="E14" s="125">
        <v>1955</v>
      </c>
      <c r="F14" s="133">
        <f t="shared" si="1"/>
        <v>2.6785714285714191E-2</v>
      </c>
      <c r="G14" s="133">
        <f t="shared" si="2"/>
        <v>6.6557555919257938E-2</v>
      </c>
      <c r="H14" s="3">
        <v>3135.3150000000001</v>
      </c>
      <c r="I14" s="37">
        <v>3219.861328125</v>
      </c>
      <c r="J14" s="37">
        <v>3526.462</v>
      </c>
      <c r="K14" s="37">
        <v>3115.7849999999999</v>
      </c>
      <c r="L14" s="1">
        <f t="shared" si="3"/>
        <v>6.7325289425452128E-2</v>
      </c>
      <c r="M14" s="80">
        <f t="shared" si="4"/>
        <v>6.9360343931312851E-2</v>
      </c>
      <c r="N14" s="80">
        <f t="shared" si="5"/>
        <v>3.2555900454395381E-2</v>
      </c>
      <c r="O14" s="81"/>
    </row>
    <row r="15" spans="1:15" x14ac:dyDescent="0.35">
      <c r="A15" s="48" t="s">
        <v>48</v>
      </c>
      <c r="B15" s="131">
        <v>3479</v>
      </c>
      <c r="C15" s="44">
        <f t="shared" si="0"/>
        <v>0.23896011396011385</v>
      </c>
      <c r="D15" s="47">
        <f t="shared" si="6"/>
        <v>7.013226699477082E-2</v>
      </c>
      <c r="E15" s="125">
        <v>1973</v>
      </c>
      <c r="F15" s="133">
        <f t="shared" si="1"/>
        <v>9.2071611253197183E-3</v>
      </c>
      <c r="G15" s="133">
        <f t="shared" si="2"/>
        <v>7.170016295491588E-2</v>
      </c>
      <c r="H15" s="3">
        <v>3360.9490000000001</v>
      </c>
      <c r="I15" s="37">
        <v>3272.152</v>
      </c>
      <c r="J15" s="37">
        <v>3545.4052734375</v>
      </c>
      <c r="K15" s="37">
        <v>3351.739</v>
      </c>
      <c r="L15" s="1">
        <f t="shared" si="3"/>
        <v>7.0849333762924571E-2</v>
      </c>
      <c r="M15" s="80">
        <f t="shared" si="4"/>
        <v>7.2618490756496845E-2</v>
      </c>
      <c r="N15" s="80">
        <f t="shared" si="5"/>
        <v>3.8420540304067163E-2</v>
      </c>
      <c r="O15" s="81"/>
    </row>
    <row r="16" spans="1:15" x14ac:dyDescent="0.35">
      <c r="A16" s="48" t="s">
        <v>49</v>
      </c>
      <c r="B16" s="131">
        <v>3264</v>
      </c>
      <c r="C16" s="44">
        <f t="shared" si="0"/>
        <v>-6.1799367634377655E-2</v>
      </c>
      <c r="D16" s="47">
        <f t="shared" si="6"/>
        <v>8.2228116710875376E-2</v>
      </c>
      <c r="E16" s="125">
        <v>2043</v>
      </c>
      <c r="F16" s="133">
        <f t="shared" si="1"/>
        <v>3.5478966041561089E-2</v>
      </c>
      <c r="G16" s="133">
        <f t="shared" si="2"/>
        <v>9.7207303974221171E-2</v>
      </c>
      <c r="H16" s="3">
        <v>3306.9072265625</v>
      </c>
      <c r="I16" s="37">
        <v>3324.58</v>
      </c>
      <c r="J16" s="37">
        <v>3749.7629999999999</v>
      </c>
      <c r="K16" s="37">
        <v>3284.7950000000001</v>
      </c>
      <c r="L16" s="1">
        <f t="shared" si="3"/>
        <v>7.2606365877523116E-2</v>
      </c>
      <c r="M16" s="80">
        <f t="shared" si="4"/>
        <v>7.0827077267683558E-2</v>
      </c>
      <c r="N16" s="80">
        <f t="shared" si="5"/>
        <v>0.10481236595937515</v>
      </c>
      <c r="O16" s="81"/>
    </row>
    <row r="17" spans="1:17" x14ac:dyDescent="0.35">
      <c r="A17" s="48" t="s">
        <v>50</v>
      </c>
      <c r="B17" s="131">
        <v>3433</v>
      </c>
      <c r="C17" s="44">
        <f t="shared" si="0"/>
        <v>5.1776960784313708E-2</v>
      </c>
      <c r="D17" s="47">
        <f t="shared" si="6"/>
        <v>6.8471833177715435E-2</v>
      </c>
      <c r="E17" s="125">
        <v>2052</v>
      </c>
      <c r="F17" s="133">
        <f t="shared" si="1"/>
        <v>4.405286343612369E-3</v>
      </c>
      <c r="G17" s="133">
        <f t="shared" si="2"/>
        <v>7.7731092436974736E-2</v>
      </c>
      <c r="H17" s="3">
        <v>3377.138671875</v>
      </c>
      <c r="I17" s="37">
        <v>3357.85766601562</v>
      </c>
      <c r="J17" s="37">
        <v>3794.134</v>
      </c>
      <c r="K17" s="37">
        <v>3356.3180000000002</v>
      </c>
      <c r="L17" s="1">
        <f t="shared" si="3"/>
        <v>6.7628221365534369E-2</v>
      </c>
      <c r="M17" s="80">
        <f t="shared" si="4"/>
        <v>6.5358976590430773E-2</v>
      </c>
      <c r="N17" s="80">
        <f t="shared" si="5"/>
        <v>0.10949647482666558</v>
      </c>
      <c r="O17" s="81"/>
    </row>
    <row r="18" spans="1:17" x14ac:dyDescent="0.35">
      <c r="A18" s="48" t="s">
        <v>68</v>
      </c>
      <c r="B18" s="131">
        <v>3026</v>
      </c>
      <c r="C18" s="44">
        <f t="shared" si="0"/>
        <v>-0.11855519953393534</v>
      </c>
      <c r="D18" s="47">
        <f t="shared" si="6"/>
        <v>7.7635327635327656E-2</v>
      </c>
      <c r="E18" s="125">
        <v>2092</v>
      </c>
      <c r="F18" s="133">
        <f t="shared" si="1"/>
        <v>1.949317738791434E-2</v>
      </c>
      <c r="G18" s="133">
        <f t="shared" si="2"/>
        <v>7.0076726342710893E-2</v>
      </c>
      <c r="H18" s="3">
        <v>3308.75366210937</v>
      </c>
      <c r="I18" s="37">
        <v>3403.80249023437</v>
      </c>
      <c r="J18" s="37">
        <v>3753.60473632812</v>
      </c>
      <c r="K18" s="37">
        <v>3286.5419999999999</v>
      </c>
      <c r="L18" s="1">
        <f t="shared" si="3"/>
        <v>5.5317778950239482E-2</v>
      </c>
      <c r="M18" s="80">
        <f t="shared" si="4"/>
        <v>5.4803845579845856E-2</v>
      </c>
      <c r="N18" s="80">
        <f t="shared" si="5"/>
        <v>6.4410941143877354E-2</v>
      </c>
      <c r="O18" s="81"/>
    </row>
    <row r="19" spans="1:17" x14ac:dyDescent="0.35">
      <c r="A19" s="48" t="s">
        <v>91</v>
      </c>
      <c r="B19" s="131">
        <v>3803</v>
      </c>
      <c r="C19" s="44">
        <f t="shared" si="0"/>
        <v>0.25677461996034379</v>
      </c>
      <c r="D19" s="47">
        <f t="shared" si="6"/>
        <v>9.3130209830410982E-2</v>
      </c>
      <c r="E19" s="125">
        <v>2162</v>
      </c>
      <c r="F19" s="133">
        <f t="shared" si="1"/>
        <v>3.3460803059273347E-2</v>
      </c>
      <c r="G19" s="133">
        <f t="shared" si="2"/>
        <v>9.5793208312214828E-2</v>
      </c>
      <c r="H19" s="3">
        <v>3550.33178710937</v>
      </c>
      <c r="I19" s="37">
        <v>3458.41967773437</v>
      </c>
      <c r="J19" s="37">
        <v>3929.3449999999998</v>
      </c>
      <c r="K19" s="37">
        <v>3531.4072265625</v>
      </c>
      <c r="L19" s="1">
        <f t="shared" si="3"/>
        <v>5.63480097762179E-2</v>
      </c>
      <c r="M19" s="80">
        <f t="shared" si="4"/>
        <v>5.3604480110921449E-2</v>
      </c>
      <c r="N19" s="80">
        <f t="shared" si="5"/>
        <v>0.10829219706954563</v>
      </c>
      <c r="O19" s="81"/>
    </row>
    <row r="20" spans="1:17" x14ac:dyDescent="0.35">
      <c r="A20" s="48" t="s">
        <v>123</v>
      </c>
      <c r="B20" s="131">
        <v>3468</v>
      </c>
      <c r="C20" s="44">
        <f t="shared" si="0"/>
        <v>-8.8088351301603973E-2</v>
      </c>
      <c r="D20" s="47">
        <f t="shared" si="6"/>
        <v>6.25E-2</v>
      </c>
      <c r="E20" s="125">
        <v>2168</v>
      </c>
      <c r="F20" s="133">
        <f t="shared" si="1"/>
        <v>2.7752081406104967E-3</v>
      </c>
      <c r="G20" s="133">
        <f t="shared" si="2"/>
        <v>6.1184532550171422E-2</v>
      </c>
      <c r="H20" s="3">
        <v>3518.8409999999999</v>
      </c>
      <c r="I20" s="37">
        <v>3535.5709999999999</v>
      </c>
      <c r="J20" s="37">
        <v>3929.88745117187</v>
      </c>
      <c r="K20" s="37">
        <v>3498.317</v>
      </c>
      <c r="L20" s="1">
        <f t="shared" si="3"/>
        <v>6.4088212616053131E-2</v>
      </c>
      <c r="M20" s="80">
        <f t="shared" si="4"/>
        <v>6.5003143270736752E-2</v>
      </c>
      <c r="N20" s="80">
        <f t="shared" si="5"/>
        <v>4.8036222868450551E-2</v>
      </c>
      <c r="O20" s="81"/>
    </row>
    <row r="21" spans="1:17" x14ac:dyDescent="0.35">
      <c r="A21" s="48" t="s">
        <v>126</v>
      </c>
      <c r="B21" s="131">
        <v>3885</v>
      </c>
      <c r="C21" s="44">
        <f t="shared" si="0"/>
        <v>0.12024221453287187</v>
      </c>
      <c r="D21" s="47">
        <f>B21/B17-1</f>
        <v>0.13166326827847374</v>
      </c>
      <c r="E21" s="125">
        <v>2305</v>
      </c>
      <c r="F21" s="133">
        <f t="shared" si="1"/>
        <v>6.3191881918819082E-2</v>
      </c>
      <c r="G21" s="133">
        <f t="shared" si="2"/>
        <v>0.12329434697855746</v>
      </c>
      <c r="H21" s="3">
        <v>3649.806</v>
      </c>
      <c r="I21" s="37">
        <v>3620.978515625</v>
      </c>
      <c r="J21" s="37">
        <v>4247.5283203125</v>
      </c>
      <c r="K21" s="37">
        <v>3619.96166992187</v>
      </c>
      <c r="L21" s="1">
        <f t="shared" si="3"/>
        <v>8.07391566108282E-2</v>
      </c>
      <c r="M21" s="80">
        <f t="shared" si="4"/>
        <v>7.8551457258182911E-2</v>
      </c>
      <c r="N21" s="80">
        <f t="shared" si="5"/>
        <v>0.11949876317296648</v>
      </c>
      <c r="O21" s="81"/>
    </row>
    <row r="22" spans="1:17" x14ac:dyDescent="0.35">
      <c r="A22" s="48" t="s">
        <v>128</v>
      </c>
      <c r="B22" s="131">
        <v>3383</v>
      </c>
      <c r="C22" s="44">
        <f t="shared" ref="C22:C39" si="7">B22/B21-1</f>
        <v>-0.12921492921492916</v>
      </c>
      <c r="D22" s="47">
        <f t="shared" si="6"/>
        <v>0.1179775280898876</v>
      </c>
      <c r="E22" s="125">
        <v>2321</v>
      </c>
      <c r="F22" s="133">
        <f t="shared" si="1"/>
        <v>6.94143167028205E-3</v>
      </c>
      <c r="G22" s="133">
        <f t="shared" si="2"/>
        <v>0.10946462715105154</v>
      </c>
      <c r="H22" s="3">
        <v>3558.5244140625</v>
      </c>
      <c r="I22" s="37">
        <v>3670.96166992187</v>
      </c>
      <c r="J22" s="37">
        <v>3995.39672851562</v>
      </c>
      <c r="K22" s="37">
        <v>3536.7109999999998</v>
      </c>
      <c r="L22" s="1">
        <f t="shared" si="3"/>
        <v>7.5487865661748366E-2</v>
      </c>
      <c r="M22" s="80">
        <f t="shared" si="4"/>
        <v>7.6119215881008007E-2</v>
      </c>
      <c r="N22" s="80">
        <f t="shared" si="5"/>
        <v>6.4415943918492591E-2</v>
      </c>
      <c r="O22" s="81"/>
    </row>
    <row r="23" spans="1:17" x14ac:dyDescent="0.35">
      <c r="A23" s="48" t="s">
        <v>129</v>
      </c>
      <c r="B23" s="131">
        <v>4046</v>
      </c>
      <c r="C23" s="44">
        <f t="shared" si="7"/>
        <v>0.19597989949748751</v>
      </c>
      <c r="D23" s="47">
        <f t="shared" si="6"/>
        <v>6.389692348146192E-2</v>
      </c>
      <c r="E23" s="125">
        <v>2344</v>
      </c>
      <c r="F23" s="133">
        <f t="shared" si="1"/>
        <v>9.9095217578630823E-3</v>
      </c>
      <c r="G23" s="133">
        <f t="shared" si="2"/>
        <v>8.418131359851988E-2</v>
      </c>
      <c r="H23" s="3">
        <v>3793.81030273437</v>
      </c>
      <c r="I23" s="37">
        <v>3695.63842773437</v>
      </c>
      <c r="J23" s="37">
        <v>4272.6865234375</v>
      </c>
      <c r="K23" s="37">
        <v>3769.89965820312</v>
      </c>
      <c r="L23" s="1">
        <f t="shared" si="3"/>
        <v>6.8579087878216871E-2</v>
      </c>
      <c r="M23" s="80">
        <f t="shared" si="4"/>
        <v>6.7534672820152242E-2</v>
      </c>
      <c r="N23" s="80">
        <f t="shared" si="5"/>
        <v>8.7378818464018959E-2</v>
      </c>
      <c r="O23" s="81"/>
    </row>
    <row r="24" spans="1:17" x14ac:dyDescent="0.35">
      <c r="A24" s="48" t="s">
        <v>130</v>
      </c>
      <c r="B24" s="131">
        <v>3621</v>
      </c>
      <c r="C24" s="44">
        <f t="shared" si="7"/>
        <v>-0.10504201680672265</v>
      </c>
      <c r="D24" s="47">
        <f t="shared" si="6"/>
        <v>4.4117647058823595E-2</v>
      </c>
      <c r="E24" s="125">
        <v>2249</v>
      </c>
      <c r="F24" s="133">
        <f t="shared" si="1"/>
        <v>-4.052901023890787E-2</v>
      </c>
      <c r="G24" s="133">
        <f t="shared" si="2"/>
        <v>3.7361623616236184E-2</v>
      </c>
      <c r="H24" s="3">
        <v>3700.16</v>
      </c>
      <c r="I24" s="37">
        <v>3715.424</v>
      </c>
      <c r="J24" s="37">
        <v>4396.4139999999998</v>
      </c>
      <c r="K24" s="37">
        <v>3665.3960000000002</v>
      </c>
      <c r="L24" s="1">
        <f t="shared" si="3"/>
        <v>5.1528045740060424E-2</v>
      </c>
      <c r="M24" s="80">
        <f t="shared" si="4"/>
        <v>4.7759822794789741E-2</v>
      </c>
      <c r="N24" s="80">
        <f t="shared" si="5"/>
        <v>0.118712445235299</v>
      </c>
      <c r="O24" s="81"/>
    </row>
    <row r="25" spans="1:17" x14ac:dyDescent="0.35">
      <c r="A25" s="48" t="s">
        <v>147</v>
      </c>
      <c r="B25" s="131">
        <v>3451</v>
      </c>
      <c r="C25" s="44">
        <f t="shared" si="7"/>
        <v>-4.6948356807511749E-2</v>
      </c>
      <c r="D25" s="47">
        <f t="shared" si="6"/>
        <v>-0.11171171171171168</v>
      </c>
      <c r="E25" s="125">
        <v>2017</v>
      </c>
      <c r="F25" s="133">
        <f t="shared" si="1"/>
        <v>-0.10315695864828811</v>
      </c>
      <c r="G25" s="133">
        <f t="shared" si="2"/>
        <v>-0.1249457700650759</v>
      </c>
      <c r="H25" s="3">
        <v>3643.25146484375</v>
      </c>
      <c r="I25" s="37">
        <v>3607.002</v>
      </c>
      <c r="J25" s="37">
        <v>4277.32373046875</v>
      </c>
      <c r="K25" s="37">
        <v>3611.5920000000001</v>
      </c>
      <c r="L25" s="1">
        <f t="shared" si="3"/>
        <v>-1.7958585076165434E-3</v>
      </c>
      <c r="M25" s="80">
        <f t="shared" si="4"/>
        <v>-2.3120879956860518E-3</v>
      </c>
      <c r="N25" s="80">
        <f t="shared" si="5"/>
        <v>7.0147643310023433E-3</v>
      </c>
      <c r="O25" s="81"/>
    </row>
    <row r="26" spans="1:17" x14ac:dyDescent="0.35">
      <c r="A26" s="48" t="s">
        <v>148</v>
      </c>
      <c r="B26" s="131">
        <v>3258</v>
      </c>
      <c r="C26" s="44">
        <f t="shared" si="7"/>
        <v>-5.5925818603303368E-2</v>
      </c>
      <c r="D26" s="47">
        <f t="shared" si="6"/>
        <v>-3.6949453148093392E-2</v>
      </c>
      <c r="E26" s="125">
        <v>2235</v>
      </c>
      <c r="F26" s="133">
        <f t="shared" si="1"/>
        <v>0.10808130887456624</v>
      </c>
      <c r="G26" s="133">
        <f t="shared" si="2"/>
        <v>-3.7052994398965922E-2</v>
      </c>
      <c r="H26" s="3">
        <v>3665.752</v>
      </c>
      <c r="I26" s="37">
        <v>3791.28759765625</v>
      </c>
      <c r="J26" s="37">
        <v>4533.0349999999999</v>
      </c>
      <c r="K26" s="37">
        <v>3622.4479999999999</v>
      </c>
      <c r="L26" s="1">
        <f t="shared" si="3"/>
        <v>3.013259808300317E-2</v>
      </c>
      <c r="M26" s="80">
        <f t="shared" si="4"/>
        <v>2.4242014685395663E-2</v>
      </c>
      <c r="N26" s="80">
        <f t="shared" si="5"/>
        <v>0.13456442701852156</v>
      </c>
      <c r="O26" s="81"/>
    </row>
    <row r="27" spans="1:17" x14ac:dyDescent="0.35">
      <c r="A27" s="48" t="s">
        <v>153</v>
      </c>
      <c r="B27" s="131">
        <v>4042</v>
      </c>
      <c r="C27" s="44">
        <f t="shared" si="7"/>
        <v>0.2406384284837324</v>
      </c>
      <c r="D27" s="47">
        <f t="shared" si="6"/>
        <v>-9.8863074641619697E-4</v>
      </c>
      <c r="E27" s="125">
        <v>2329</v>
      </c>
      <c r="F27" s="133">
        <f t="shared" si="1"/>
        <v>4.2058165548098492E-2</v>
      </c>
      <c r="G27" s="133">
        <f t="shared" si="2"/>
        <v>-6.3993174061433011E-3</v>
      </c>
      <c r="H27" s="3">
        <v>3938.3409999999999</v>
      </c>
      <c r="I27" s="37">
        <v>3838.39428710937</v>
      </c>
      <c r="J27" s="37">
        <v>4656.80029296875</v>
      </c>
      <c r="K27" s="37">
        <v>3902.4679999999998</v>
      </c>
      <c r="L27" s="1">
        <f t="shared" si="3"/>
        <v>3.8096448091107904E-2</v>
      </c>
      <c r="M27" s="80">
        <f t="shared" si="4"/>
        <v>3.5164952337237265E-2</v>
      </c>
      <c r="N27" s="80">
        <f t="shared" si="5"/>
        <v>8.9899824717826426E-2</v>
      </c>
      <c r="O27" s="81"/>
    </row>
    <row r="28" spans="1:17" x14ac:dyDescent="0.35">
      <c r="A28" s="48" t="s">
        <v>154</v>
      </c>
      <c r="B28" s="131">
        <v>3707</v>
      </c>
      <c r="C28" s="44">
        <f t="shared" si="7"/>
        <v>-8.2879762493814901E-2</v>
      </c>
      <c r="D28" s="47">
        <f t="shared" si="6"/>
        <v>2.3750345208505941E-2</v>
      </c>
      <c r="E28" s="125">
        <v>2327</v>
      </c>
      <c r="F28" s="133">
        <f t="shared" si="1"/>
        <v>-8.5873765564614679E-4</v>
      </c>
      <c r="G28" s="133">
        <f t="shared" si="2"/>
        <v>3.4682080924855585E-2</v>
      </c>
      <c r="H28" s="3">
        <v>3925.3319999999999</v>
      </c>
      <c r="I28" s="37">
        <v>3937.8193359375</v>
      </c>
      <c r="J28" s="37">
        <v>4774.25048828125</v>
      </c>
      <c r="K28" s="37">
        <v>3882.9450000000002</v>
      </c>
      <c r="L28" s="1">
        <f t="shared" si="3"/>
        <v>6.0854665744183967E-2</v>
      </c>
      <c r="M28" s="80">
        <f t="shared" si="4"/>
        <v>5.9352113659751904E-2</v>
      </c>
      <c r="N28" s="80">
        <f t="shared" si="5"/>
        <v>8.5941971861897004E-2</v>
      </c>
      <c r="O28" s="81"/>
      <c r="Q28">
        <v>6.5</v>
      </c>
    </row>
    <row r="29" spans="1:17" x14ac:dyDescent="0.35">
      <c r="A29" s="48" t="s">
        <v>155</v>
      </c>
      <c r="B29" s="131">
        <v>4070</v>
      </c>
      <c r="C29" s="44">
        <f t="shared" si="7"/>
        <v>9.7922848664688367E-2</v>
      </c>
      <c r="D29" s="47">
        <f t="shared" si="6"/>
        <v>0.17936829904375551</v>
      </c>
      <c r="E29" s="125">
        <v>2433</v>
      </c>
      <c r="F29" s="133">
        <f t="shared" si="1"/>
        <v>4.5552213149978593E-2</v>
      </c>
      <c r="G29" s="133">
        <f t="shared" si="2"/>
        <v>0.20624690133862167</v>
      </c>
      <c r="H29" s="3">
        <v>4062.86254882812</v>
      </c>
      <c r="I29" s="37">
        <v>4015.5549999999998</v>
      </c>
      <c r="J29" s="37">
        <v>4704.45361328125</v>
      </c>
      <c r="K29" s="37">
        <v>4030.82763671875</v>
      </c>
      <c r="L29" s="1">
        <f t="shared" si="3"/>
        <v>0.1151748892530442</v>
      </c>
      <c r="M29" s="80">
        <f t="shared" si="4"/>
        <v>0.11608056411653078</v>
      </c>
      <c r="N29" s="80">
        <f t="shared" si="5"/>
        <v>9.9859143176355136E-2</v>
      </c>
      <c r="O29" s="81"/>
      <c r="Q29">
        <v>7.8</v>
      </c>
    </row>
    <row r="30" spans="1:17" x14ac:dyDescent="0.35">
      <c r="A30" s="48" t="s">
        <v>156</v>
      </c>
      <c r="B30" s="131">
        <v>3454</v>
      </c>
      <c r="C30" s="44">
        <f t="shared" si="7"/>
        <v>-0.15135135135135136</v>
      </c>
      <c r="D30" s="47">
        <f t="shared" si="6"/>
        <v>6.0159607120933156E-2</v>
      </c>
      <c r="E30" s="125">
        <v>2461</v>
      </c>
      <c r="F30" s="133">
        <f t="shared" si="1"/>
        <v>1.1508425811755041E-2</v>
      </c>
      <c r="G30" s="133">
        <f t="shared" si="2"/>
        <v>0.1011185682326623</v>
      </c>
      <c r="H30" s="3">
        <v>3908.62841796875</v>
      </c>
      <c r="I30" s="37">
        <v>4050.15844726562</v>
      </c>
      <c r="J30" s="37">
        <v>4595.7669999999998</v>
      </c>
      <c r="K30" s="37">
        <v>3874.3193359375</v>
      </c>
      <c r="L30" s="1">
        <f t="shared" si="3"/>
        <v>6.6255550830702781E-2</v>
      </c>
      <c r="M30" s="80">
        <f t="shared" si="4"/>
        <v>6.953069745583651E-2</v>
      </c>
      <c r="N30" s="80">
        <f t="shared" si="5"/>
        <v>1.3838851895032755E-2</v>
      </c>
      <c r="O30" s="81"/>
      <c r="Q30">
        <v>11.8</v>
      </c>
    </row>
    <row r="31" spans="1:17" x14ac:dyDescent="0.35">
      <c r="A31" s="48" t="s">
        <v>157</v>
      </c>
      <c r="B31" s="131">
        <v>4350</v>
      </c>
      <c r="C31" s="44">
        <f t="shared" si="7"/>
        <v>0.25940938042848871</v>
      </c>
      <c r="D31" s="47">
        <f t="shared" si="6"/>
        <v>7.6199901039089468E-2</v>
      </c>
      <c r="E31" s="125">
        <v>2568</v>
      </c>
      <c r="F31" s="133">
        <f t="shared" si="1"/>
        <v>4.3478260869565188E-2</v>
      </c>
      <c r="G31" s="133">
        <f t="shared" si="2"/>
        <v>0.10261914984972087</v>
      </c>
      <c r="H31" s="3">
        <v>4254.78857421875</v>
      </c>
      <c r="I31" s="37">
        <v>4148.818359375</v>
      </c>
      <c r="J31" s="37">
        <v>4852.03369140625</v>
      </c>
      <c r="K31" s="37">
        <v>4224.9679999999998</v>
      </c>
      <c r="L31" s="1">
        <f t="shared" si="3"/>
        <v>8.0350476055463416E-2</v>
      </c>
      <c r="M31" s="80">
        <f t="shared" si="4"/>
        <v>8.2640011397915325E-2</v>
      </c>
      <c r="N31" s="80">
        <f t="shared" si="5"/>
        <v>4.1924365692100007E-2</v>
      </c>
      <c r="O31" s="81"/>
      <c r="Q31">
        <v>7.7</v>
      </c>
    </row>
    <row r="32" spans="1:17" x14ac:dyDescent="0.35">
      <c r="A32" s="48" t="s">
        <v>158</v>
      </c>
      <c r="B32" s="131">
        <v>4074</v>
      </c>
      <c r="C32" s="44">
        <f t="shared" si="7"/>
        <v>-6.3448275862068915E-2</v>
      </c>
      <c r="D32" s="47">
        <f t="shared" ref="D32:D38" si="8">B32/B28-1</f>
        <v>9.9001888319395714E-2</v>
      </c>
      <c r="E32" s="125">
        <v>2510</v>
      </c>
      <c r="F32" s="133">
        <f t="shared" si="1"/>
        <v>-2.2585669781931439E-2</v>
      </c>
      <c r="G32" s="133">
        <f t="shared" si="2"/>
        <v>7.8642028362698735E-2</v>
      </c>
      <c r="H32" s="3">
        <v>4245.6552734375</v>
      </c>
      <c r="I32" s="37">
        <v>4256.0200000000004</v>
      </c>
      <c r="J32" s="37">
        <v>4804.9589999999998</v>
      </c>
      <c r="K32" s="37">
        <v>4217.7290000000003</v>
      </c>
      <c r="L32" s="1">
        <f t="shared" si="3"/>
        <v>8.1604122514350452E-2</v>
      </c>
      <c r="M32" s="80">
        <f t="shared" si="4"/>
        <v>8.6219094012405462E-2</v>
      </c>
      <c r="N32" s="80">
        <f t="shared" si="5"/>
        <v>6.4321115521956962E-3</v>
      </c>
      <c r="O32" s="81"/>
    </row>
    <row r="33" spans="1:80" x14ac:dyDescent="0.35">
      <c r="A33" s="48" t="s">
        <v>159</v>
      </c>
      <c r="B33" s="131">
        <v>4541</v>
      </c>
      <c r="C33" s="44">
        <f t="shared" si="7"/>
        <v>0.11462935689739817</v>
      </c>
      <c r="D33" s="47">
        <f t="shared" si="8"/>
        <v>0.11572481572481563</v>
      </c>
      <c r="E33" s="125">
        <v>2615</v>
      </c>
      <c r="F33" s="133">
        <f t="shared" si="1"/>
        <v>4.1832669322709126E-2</v>
      </c>
      <c r="G33" s="133">
        <f t="shared" si="2"/>
        <v>7.4804767776407655E-2</v>
      </c>
      <c r="H33" s="3">
        <v>4416.3620000000001</v>
      </c>
      <c r="I33" s="37">
        <v>4362.03662109375</v>
      </c>
      <c r="J33" s="37">
        <v>5029.5479999999998</v>
      </c>
      <c r="K33" s="37">
        <v>4385.7449999999999</v>
      </c>
      <c r="L33" s="1">
        <f t="shared" si="3"/>
        <v>8.700748472867792E-2</v>
      </c>
      <c r="M33" s="80">
        <f t="shared" si="4"/>
        <v>8.80507417504377E-2</v>
      </c>
      <c r="N33" s="80">
        <f t="shared" si="5"/>
        <v>6.9103537507728463E-2</v>
      </c>
      <c r="O33" s="81"/>
    </row>
    <row r="34" spans="1:80" x14ac:dyDescent="0.35">
      <c r="A34" s="48" t="s">
        <v>160</v>
      </c>
      <c r="B34" s="131">
        <v>3852</v>
      </c>
      <c r="C34" s="44">
        <f t="shared" si="7"/>
        <v>-0.15172869412023782</v>
      </c>
      <c r="D34" s="51">
        <f t="shared" si="8"/>
        <v>0.11522872032426168</v>
      </c>
      <c r="E34" s="125">
        <v>2708</v>
      </c>
      <c r="F34" s="133">
        <f t="shared" si="1"/>
        <v>3.5564053537284979E-2</v>
      </c>
      <c r="G34" s="133">
        <f t="shared" si="2"/>
        <v>0.10036570499796826</v>
      </c>
      <c r="H34" s="3">
        <v>4294.0870000000004</v>
      </c>
      <c r="I34" s="37">
        <v>4452.40771484375</v>
      </c>
      <c r="J34" s="37">
        <v>5077.349609375</v>
      </c>
      <c r="K34" s="37">
        <v>4254.9780000000001</v>
      </c>
      <c r="L34" s="1">
        <f t="shared" si="3"/>
        <v>9.8617351360190675E-2</v>
      </c>
      <c r="M34" s="80">
        <f t="shared" si="4"/>
        <v>9.8251752386949054E-2</v>
      </c>
      <c r="N34" s="80">
        <f t="shared" si="5"/>
        <v>0.10478829961897551</v>
      </c>
      <c r="O34" s="81"/>
      <c r="Q34" s="127">
        <f>AVERAGE(Q28:Q31)</f>
        <v>8.4500000000000011</v>
      </c>
    </row>
    <row r="35" spans="1:80" x14ac:dyDescent="0.35">
      <c r="A35" s="48" t="s">
        <v>161</v>
      </c>
      <c r="B35" s="131">
        <v>4644</v>
      </c>
      <c r="C35" s="44">
        <f t="shared" si="7"/>
        <v>0.20560747663551404</v>
      </c>
      <c r="D35" s="47">
        <f t="shared" si="8"/>
        <v>6.7586206896551815E-2</v>
      </c>
      <c r="E35" s="125">
        <v>2755</v>
      </c>
      <c r="F35" s="133">
        <f t="shared" si="1"/>
        <v>1.7355982274741555E-2</v>
      </c>
      <c r="G35" s="133">
        <f t="shared" si="2"/>
        <v>7.2819314641744626E-2</v>
      </c>
      <c r="H35" s="3">
        <v>4645.6840000000002</v>
      </c>
      <c r="I35" s="37">
        <v>4530.9459999999999</v>
      </c>
      <c r="J35" s="37">
        <v>5320.902</v>
      </c>
      <c r="K35" s="37">
        <v>4611.97</v>
      </c>
      <c r="L35" s="1">
        <f t="shared" si="3"/>
        <v>9.1871880109348325E-2</v>
      </c>
      <c r="M35" s="80">
        <f t="shared" si="4"/>
        <v>9.1598800274937053E-2</v>
      </c>
      <c r="N35" s="80">
        <f t="shared" si="5"/>
        <v>9.6633357971976253E-2</v>
      </c>
      <c r="O35" s="81"/>
    </row>
    <row r="36" spans="1:80" x14ac:dyDescent="0.35">
      <c r="A36" s="48" t="s">
        <v>162</v>
      </c>
      <c r="B36" s="131">
        <v>4386</v>
      </c>
      <c r="C36" s="44">
        <f t="shared" si="7"/>
        <v>-5.555555555555558E-2</v>
      </c>
      <c r="D36" s="47">
        <f t="shared" si="8"/>
        <v>7.658321060382911E-2</v>
      </c>
      <c r="E36" s="125">
        <v>2740</v>
      </c>
      <c r="F36" s="133">
        <f t="shared" si="1"/>
        <v>-5.4446460980036582E-3</v>
      </c>
      <c r="G36" s="133">
        <f t="shared" si="2"/>
        <v>9.1633466135458086E-2</v>
      </c>
      <c r="H36" s="3">
        <v>4615.79443359375</v>
      </c>
      <c r="I36" s="37">
        <v>4627.107421875</v>
      </c>
      <c r="J36" s="37">
        <v>5318.3544921875</v>
      </c>
      <c r="K36" s="37">
        <v>4580.7150000000001</v>
      </c>
      <c r="L36" s="1">
        <f t="shared" si="3"/>
        <v>8.718069092231473E-2</v>
      </c>
      <c r="M36" s="80">
        <f t="shared" si="4"/>
        <v>8.6061954193832779E-2</v>
      </c>
      <c r="N36" s="80">
        <f t="shared" si="5"/>
        <v>0.10684700789070223</v>
      </c>
      <c r="O36" s="81"/>
    </row>
    <row r="37" spans="1:80" s="89" customFormat="1" x14ac:dyDescent="0.35">
      <c r="A37" s="82" t="s">
        <v>163</v>
      </c>
      <c r="B37" s="131">
        <v>4659</v>
      </c>
      <c r="C37" s="84">
        <f t="shared" si="7"/>
        <v>6.224350205198359E-2</v>
      </c>
      <c r="D37" s="85">
        <f t="shared" si="8"/>
        <v>2.5985465756441339E-2</v>
      </c>
      <c r="E37" s="125">
        <v>2780</v>
      </c>
      <c r="F37" s="133">
        <f t="shared" si="1"/>
        <v>1.4598540145985384E-2</v>
      </c>
      <c r="G37" s="133">
        <f t="shared" si="2"/>
        <v>6.3097514340344274E-2</v>
      </c>
      <c r="H37" s="3">
        <v>4768.0146484375</v>
      </c>
      <c r="I37" s="86">
        <v>4706.9365234375</v>
      </c>
      <c r="J37" s="86">
        <v>5694.3360000000002</v>
      </c>
      <c r="K37" s="86">
        <v>4721.7626953125</v>
      </c>
      <c r="L37" s="87">
        <f t="shared" si="3"/>
        <v>7.9624960190650018E-2</v>
      </c>
      <c r="M37" s="88">
        <f t="shared" si="4"/>
        <v>7.6615876051275178E-2</v>
      </c>
      <c r="N37" s="88">
        <f t="shared" si="5"/>
        <v>0.13217648981578467</v>
      </c>
      <c r="O37" s="8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spans="1:80" s="89" customFormat="1" x14ac:dyDescent="0.35">
      <c r="A38" s="82" t="s">
        <v>164</v>
      </c>
      <c r="B38" s="131">
        <v>4261</v>
      </c>
      <c r="C38" s="84">
        <f t="shared" si="7"/>
        <v>-8.5426057093796914E-2</v>
      </c>
      <c r="D38" s="85">
        <f t="shared" si="8"/>
        <v>0.10617860851505712</v>
      </c>
      <c r="E38" s="125">
        <v>2910</v>
      </c>
      <c r="F38" s="133">
        <f t="shared" si="1"/>
        <v>4.6762589928057485E-2</v>
      </c>
      <c r="G38" s="133">
        <f t="shared" si="2"/>
        <v>7.4593796159527326E-2</v>
      </c>
      <c r="H38" s="3">
        <v>4654.0749999999998</v>
      </c>
      <c r="I38" s="86">
        <v>4829.0576171875</v>
      </c>
      <c r="J38" s="86">
        <v>5675.390625</v>
      </c>
      <c r="K38" s="86">
        <v>4603.08056640625</v>
      </c>
      <c r="L38" s="87">
        <f t="shared" si="3"/>
        <v>8.3833420235779776E-2</v>
      </c>
      <c r="M38" s="88">
        <f t="shared" si="4"/>
        <v>8.181066186623065E-2</v>
      </c>
      <c r="N38" s="88">
        <f t="shared" si="5"/>
        <v>0.1177860619486899</v>
      </c>
      <c r="O38" s="81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spans="1:80" s="89" customFormat="1" ht="15" thickBot="1" x14ac:dyDescent="0.4">
      <c r="A39" s="90" t="s">
        <v>165</v>
      </c>
      <c r="B39" s="131">
        <v>5270</v>
      </c>
      <c r="C39" s="92">
        <f t="shared" si="7"/>
        <v>0.23679887350387241</v>
      </c>
      <c r="D39" s="93">
        <f>B39/B35-1</f>
        <v>0.13479758828596045</v>
      </c>
      <c r="E39" s="125">
        <v>3031</v>
      </c>
      <c r="F39" s="133">
        <f t="shared" si="1"/>
        <v>4.1580756013745779E-2</v>
      </c>
      <c r="G39" s="133">
        <f t="shared" si="2"/>
        <v>0.10018148820326678</v>
      </c>
      <c r="H39" s="3">
        <v>5024.6083984375</v>
      </c>
      <c r="I39" s="86">
        <v>4895.95458984375</v>
      </c>
      <c r="J39" s="86">
        <v>5695.6450000000004</v>
      </c>
      <c r="K39" s="86">
        <v>4991.103515625</v>
      </c>
      <c r="L39" s="87">
        <f t="shared" si="3"/>
        <v>8.156482413300159E-2</v>
      </c>
      <c r="M39" s="88">
        <f t="shared" si="4"/>
        <v>8.2206414097446334E-2</v>
      </c>
      <c r="N39" s="88">
        <f t="shared" si="5"/>
        <v>7.0428472465758674E-2</v>
      </c>
      <c r="O39" s="81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spans="1:80" s="99" customFormat="1" x14ac:dyDescent="0.35">
      <c r="A40" s="94" t="s">
        <v>167</v>
      </c>
      <c r="B40" s="131">
        <v>4741</v>
      </c>
      <c r="C40" s="96">
        <f t="shared" ref="C40:C49" si="9">B40/B39-1</f>
        <v>-0.10037950664136619</v>
      </c>
      <c r="D40" s="97">
        <f t="shared" ref="D40:D49" si="10">B40/B36-1</f>
        <v>8.0939352485180027E-2</v>
      </c>
      <c r="E40" s="125">
        <v>3007</v>
      </c>
      <c r="F40" s="133">
        <f t="shared" si="1"/>
        <v>-7.9181788188716906E-3</v>
      </c>
      <c r="G40" s="133">
        <f t="shared" si="2"/>
        <v>9.7445255474452486E-2</v>
      </c>
      <c r="H40" s="3">
        <v>4965.21142578125</v>
      </c>
      <c r="I40" s="95">
        <v>4982.1220000000003</v>
      </c>
      <c r="J40" s="95">
        <v>6125.9620000000004</v>
      </c>
      <c r="K40" s="95">
        <v>4907.2550000000001</v>
      </c>
      <c r="L40" s="97">
        <f t="shared" si="3"/>
        <v>7.5700293246259598E-2</v>
      </c>
      <c r="M40" s="98">
        <f t="shared" si="4"/>
        <v>7.1285814550785087E-2</v>
      </c>
      <c r="N40" s="88">
        <f t="shared" si="5"/>
        <v>0.15185289152854531</v>
      </c>
      <c r="O40" s="81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 spans="1:80" s="89" customFormat="1" x14ac:dyDescent="0.35">
      <c r="A41" s="100" t="s">
        <v>170</v>
      </c>
      <c r="B41" s="131">
        <v>5137</v>
      </c>
      <c r="C41" s="102">
        <f t="shared" si="9"/>
        <v>8.3526682134570818E-2</v>
      </c>
      <c r="D41" s="103">
        <f t="shared" si="10"/>
        <v>0.10259712384631903</v>
      </c>
      <c r="E41" s="125">
        <v>3052</v>
      </c>
      <c r="F41" s="133">
        <f t="shared" si="1"/>
        <v>1.4965081476554731E-2</v>
      </c>
      <c r="G41" s="133">
        <f t="shared" si="2"/>
        <v>9.7841726618705049E-2</v>
      </c>
      <c r="H41" s="3">
        <v>5138.5703125</v>
      </c>
      <c r="I41" s="101">
        <v>5069.4979999999996</v>
      </c>
      <c r="J41" s="101">
        <v>6140.6769999999997</v>
      </c>
      <c r="K41" s="101">
        <v>5088.53466796875</v>
      </c>
      <c r="L41" s="103">
        <f t="shared" si="3"/>
        <v>7.7716972657358108E-2</v>
      </c>
      <c r="M41" s="98">
        <f t="shared" si="4"/>
        <v>7.7676917779108345E-2</v>
      </c>
      <c r="N41" s="88">
        <f t="shared" si="5"/>
        <v>7.8383326870771208E-2</v>
      </c>
      <c r="O41" s="8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 spans="1:80" s="89" customFormat="1" x14ac:dyDescent="0.35">
      <c r="A42" s="100" t="s">
        <v>191</v>
      </c>
      <c r="B42" s="131">
        <v>4550</v>
      </c>
      <c r="C42" s="102">
        <f t="shared" si="9"/>
        <v>-0.1142690286159237</v>
      </c>
      <c r="D42" s="103">
        <f t="shared" si="10"/>
        <v>6.7824454353438091E-2</v>
      </c>
      <c r="E42" s="125">
        <v>3146</v>
      </c>
      <c r="F42" s="133">
        <f t="shared" si="1"/>
        <v>3.0799475753604089E-2</v>
      </c>
      <c r="G42" s="133">
        <f t="shared" si="2"/>
        <v>8.109965635738825E-2</v>
      </c>
      <c r="H42" s="3">
        <v>4956.6123046875</v>
      </c>
      <c r="I42" s="101">
        <v>5147.933</v>
      </c>
      <c r="J42" s="101">
        <v>6081.91845703125</v>
      </c>
      <c r="K42" s="101">
        <v>4900.4250000000002</v>
      </c>
      <c r="L42" s="103">
        <f t="shared" si="3"/>
        <v>6.5004819365287458E-2</v>
      </c>
      <c r="M42" s="98">
        <f t="shared" si="4"/>
        <v>6.459683451204401E-2</v>
      </c>
      <c r="N42" s="88">
        <f t="shared" si="5"/>
        <v>7.162992979558136E-2</v>
      </c>
      <c r="O42" s="81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 spans="1:80" x14ac:dyDescent="0.35">
      <c r="A43" s="100" t="s">
        <v>239</v>
      </c>
      <c r="B43" s="131">
        <v>5489</v>
      </c>
      <c r="C43" s="102">
        <f t="shared" si="9"/>
        <v>0.20637362637362644</v>
      </c>
      <c r="D43" s="103">
        <f>B43/B39-1</f>
        <v>4.1555977229601471E-2</v>
      </c>
      <c r="E43" s="125">
        <v>3274</v>
      </c>
      <c r="F43" s="133">
        <f t="shared" si="1"/>
        <v>4.0686586141131631E-2</v>
      </c>
      <c r="G43" s="133">
        <f t="shared" si="2"/>
        <v>8.0171560541075548E-2</v>
      </c>
      <c r="H43" s="3">
        <v>5395.7685546875</v>
      </c>
      <c r="I43" s="101">
        <v>5250.57666015625</v>
      </c>
      <c r="J43" s="101">
        <v>6163.478515625</v>
      </c>
      <c r="K43" s="101">
        <v>5357.4365234375</v>
      </c>
      <c r="L43" s="103">
        <f t="shared" si="3"/>
        <v>7.3868474280586627E-2</v>
      </c>
      <c r="M43" s="98">
        <f t="shared" si="4"/>
        <v>7.33971969656948E-2</v>
      </c>
      <c r="N43" s="88">
        <f t="shared" si="5"/>
        <v>8.213881230747333E-2</v>
      </c>
      <c r="O43" s="81"/>
    </row>
    <row r="44" spans="1:80" x14ac:dyDescent="0.35">
      <c r="A44" s="100" t="s">
        <v>240</v>
      </c>
      <c r="B44" s="131">
        <v>5051</v>
      </c>
      <c r="C44" s="102">
        <f t="shared" si="9"/>
        <v>-7.9795955547458552E-2</v>
      </c>
      <c r="D44" s="103">
        <f>B44/B40-1</f>
        <v>6.5387049145749776E-2</v>
      </c>
      <c r="E44" s="125">
        <v>3241</v>
      </c>
      <c r="F44" s="133">
        <f t="shared" si="1"/>
        <v>-1.0079413561392747E-2</v>
      </c>
      <c r="G44" s="133">
        <f t="shared" si="2"/>
        <v>7.7818423678084558E-2</v>
      </c>
      <c r="H44" s="3">
        <v>5314.1440000000002</v>
      </c>
      <c r="I44" s="101">
        <v>5337.9889999999996</v>
      </c>
      <c r="J44" s="101">
        <v>6747.7070000000003</v>
      </c>
      <c r="K44" s="101">
        <v>5242.5654296875</v>
      </c>
      <c r="L44" s="103">
        <f t="shared" si="3"/>
        <v>7.0275471535202083E-2</v>
      </c>
      <c r="M44" s="98">
        <f t="shared" si="4"/>
        <v>6.8329530396830762E-2</v>
      </c>
      <c r="N44" s="88">
        <f t="shared" si="5"/>
        <v>0.1014934470700275</v>
      </c>
      <c r="O44" s="81"/>
    </row>
    <row r="45" spans="1:80" x14ac:dyDescent="0.35">
      <c r="A45" s="100" t="s">
        <v>247</v>
      </c>
      <c r="B45" s="131">
        <v>5540</v>
      </c>
      <c r="C45" s="102">
        <f t="shared" si="9"/>
        <v>9.6812512373787296E-2</v>
      </c>
      <c r="D45" s="103">
        <f>B45/B41-1</f>
        <v>7.8450457465446766E-2</v>
      </c>
      <c r="E45" s="125">
        <v>3330.0030000000002</v>
      </c>
      <c r="F45" s="133">
        <f t="shared" si="1"/>
        <v>2.7461585930268484E-2</v>
      </c>
      <c r="G45" s="133">
        <f t="shared" si="2"/>
        <v>9.1088794233289638E-2</v>
      </c>
      <c r="H45" s="3">
        <v>5531.4709999999995</v>
      </c>
      <c r="I45" s="101">
        <v>5453.3980000000001</v>
      </c>
      <c r="J45" s="101">
        <v>6432.6845703125</v>
      </c>
      <c r="K45" s="101">
        <v>5486.47265625</v>
      </c>
      <c r="L45" s="103">
        <f t="shared" si="3"/>
        <v>7.6461090070955251E-2</v>
      </c>
      <c r="M45" s="98">
        <f t="shared" si="4"/>
        <v>7.8202864723745602E-2</v>
      </c>
      <c r="N45" s="88">
        <f t="shared" si="5"/>
        <v>4.7552992986359621E-2</v>
      </c>
    </row>
    <row r="46" spans="1:80" x14ac:dyDescent="0.35">
      <c r="A46" s="100" t="s">
        <v>248</v>
      </c>
      <c r="B46" s="131">
        <v>5089</v>
      </c>
      <c r="C46" s="102">
        <f t="shared" si="9"/>
        <v>-8.1407942238267195E-2</v>
      </c>
      <c r="D46" s="103">
        <f>B46/B42-1</f>
        <v>0.1184615384615384</v>
      </c>
      <c r="E46" s="134">
        <v>3432.5160000000001</v>
      </c>
      <c r="F46" s="133">
        <f t="shared" si="1"/>
        <v>3.0784656950759492E-2</v>
      </c>
      <c r="G46" s="133">
        <f t="shared" si="2"/>
        <v>9.1073108709472272E-2</v>
      </c>
      <c r="H46" s="3">
        <v>5342.3029999999999</v>
      </c>
      <c r="I46" s="101">
        <v>5553.7950000000001</v>
      </c>
      <c r="J46" s="101">
        <v>6435.02</v>
      </c>
      <c r="K46" s="101">
        <v>5287.74267578125</v>
      </c>
      <c r="L46" s="103">
        <f t="shared" si="3"/>
        <v>7.7813367599428584E-2</v>
      </c>
      <c r="M46" s="98">
        <f t="shared" si="4"/>
        <v>7.903756832953257E-2</v>
      </c>
      <c r="N46" s="88">
        <f t="shared" si="5"/>
        <v>5.8057592429660687E-2</v>
      </c>
    </row>
    <row r="47" spans="1:80" x14ac:dyDescent="0.35">
      <c r="A47" s="100" t="s">
        <v>262</v>
      </c>
      <c r="B47" s="131">
        <v>6106</v>
      </c>
      <c r="C47" s="102">
        <f t="shared" si="9"/>
        <v>0.19984279819217932</v>
      </c>
      <c r="D47" s="103">
        <f t="shared" si="10"/>
        <v>0.11240663144470764</v>
      </c>
      <c r="E47" s="134">
        <v>3523.2310000000002</v>
      </c>
      <c r="F47" s="133">
        <f t="shared" si="1"/>
        <v>2.6428136096088073E-2</v>
      </c>
      <c r="G47" s="133">
        <f t="shared" si="2"/>
        <v>7.6124312767257285E-2</v>
      </c>
      <c r="H47" s="3">
        <v>5855.1409999999996</v>
      </c>
      <c r="I47" s="101">
        <v>5691.70849609375</v>
      </c>
      <c r="J47" s="101">
        <v>6662.759</v>
      </c>
      <c r="K47" s="101">
        <v>5814.81640625</v>
      </c>
      <c r="L47" s="103">
        <f t="shared" si="3"/>
        <v>8.5135683759716807E-2</v>
      </c>
      <c r="M47" s="98">
        <f t="shared" si="4"/>
        <v>8.5372898178368128E-2</v>
      </c>
      <c r="N47" s="88">
        <f t="shared" si="5"/>
        <v>8.1006282914636074E-2</v>
      </c>
    </row>
    <row r="48" spans="1:80" x14ac:dyDescent="0.35">
      <c r="A48" s="100" t="s">
        <v>263</v>
      </c>
      <c r="B48" s="131">
        <f>H48</f>
        <v>5767.5780000000004</v>
      </c>
      <c r="C48" s="102">
        <f t="shared" si="9"/>
        <v>-5.5424500491319972E-2</v>
      </c>
      <c r="D48" s="103">
        <f>B48/B44-1</f>
        <v>0.14186854088299361</v>
      </c>
      <c r="E48" s="134">
        <v>3519.078</v>
      </c>
      <c r="F48" s="133">
        <f t="shared" si="1"/>
        <v>-1.178747575733774E-3</v>
      </c>
      <c r="G48" s="133">
        <f>E48/E44-1</f>
        <v>8.5800061709349063E-2</v>
      </c>
      <c r="H48" s="3">
        <v>5767.5780000000004</v>
      </c>
      <c r="I48" s="101">
        <v>5797.4620000000004</v>
      </c>
      <c r="J48" s="101">
        <v>6697.9790000000003</v>
      </c>
      <c r="K48" s="101">
        <v>5721.12255859375</v>
      </c>
      <c r="L48" s="103">
        <f t="shared" si="3"/>
        <v>8.5325877507271164E-2</v>
      </c>
      <c r="M48" s="98">
        <f>K48/K44-1</f>
        <v>9.1283005491221036E-2</v>
      </c>
      <c r="N48" s="88">
        <f t="shared" si="5"/>
        <v>-7.3696145964844417E-3</v>
      </c>
    </row>
    <row r="49" spans="1:52" x14ac:dyDescent="0.35">
      <c r="A49" s="100" t="s">
        <v>268</v>
      </c>
      <c r="B49" s="131">
        <f>H49</f>
        <v>5994.902</v>
      </c>
      <c r="C49" s="102">
        <f t="shared" si="9"/>
        <v>3.9414118023197942E-2</v>
      </c>
      <c r="D49" s="103">
        <f t="shared" si="10"/>
        <v>8.2112274368230986E-2</v>
      </c>
      <c r="E49" s="134">
        <v>3573.3780000000002</v>
      </c>
      <c r="F49" s="133">
        <f t="shared" si="1"/>
        <v>1.5430178018219554E-2</v>
      </c>
      <c r="G49" s="133">
        <f t="shared" si="2"/>
        <v>7.3085519742775107E-2</v>
      </c>
      <c r="H49" s="3">
        <v>5994.902</v>
      </c>
      <c r="I49" s="101">
        <v>5907.88037109375</v>
      </c>
      <c r="J49" s="101">
        <v>6958.3609999999999</v>
      </c>
      <c r="K49" s="101">
        <v>5946.7960000000003</v>
      </c>
      <c r="L49" s="103">
        <f t="shared" si="3"/>
        <v>8.3780788148396734E-2</v>
      </c>
      <c r="M49" s="98">
        <f t="shared" si="4"/>
        <v>8.3901510604562191E-2</v>
      </c>
      <c r="N49" s="88">
        <f t="shared" si="5"/>
        <v>8.1719603058659329E-2</v>
      </c>
    </row>
    <row r="50" spans="1:52" x14ac:dyDescent="0.35">
      <c r="A50" s="133"/>
      <c r="B50" s="133"/>
      <c r="C50" s="133"/>
      <c r="D50" s="133"/>
      <c r="E50" s="133"/>
      <c r="F50" s="133"/>
      <c r="G50" s="133"/>
      <c r="H50" s="3"/>
      <c r="I50" s="3"/>
      <c r="J50" s="3"/>
      <c r="K50" s="3"/>
      <c r="L50" s="3"/>
      <c r="M50" s="3"/>
      <c r="N50" s="3"/>
    </row>
    <row r="51" spans="1:52" s="5" customFormat="1" ht="15.75" customHeight="1" x14ac:dyDescent="0.35">
      <c r="A51" s="5" t="s">
        <v>264</v>
      </c>
      <c r="D51" s="149"/>
      <c r="E51" s="149"/>
      <c r="F51" s="150"/>
      <c r="G51" s="150"/>
      <c r="H51" s="5">
        <v>5982.4719999999998</v>
      </c>
      <c r="L51" s="151"/>
    </row>
    <row r="52" spans="1:52" ht="28.5" customHeight="1" x14ac:dyDescent="0.35">
      <c r="A52" s="8"/>
      <c r="B52" s="8" t="s">
        <v>92</v>
      </c>
      <c r="C52" s="8" t="s">
        <v>87</v>
      </c>
      <c r="D52" s="8" t="s">
        <v>88</v>
      </c>
      <c r="E52" s="8"/>
      <c r="F52" s="133"/>
      <c r="G52" s="133"/>
      <c r="H52" s="60" t="s">
        <v>69</v>
      </c>
      <c r="I52" s="60" t="s">
        <v>70</v>
      </c>
      <c r="J52" s="60" t="s">
        <v>52</v>
      </c>
      <c r="K52" s="60" t="s">
        <v>51</v>
      </c>
      <c r="L52" s="60" t="s">
        <v>54</v>
      </c>
      <c r="M52" s="60" t="s">
        <v>71</v>
      </c>
      <c r="N52" s="60" t="s">
        <v>72</v>
      </c>
      <c r="O52" s="60" t="s">
        <v>73</v>
      </c>
      <c r="P52" s="60" t="s">
        <v>132</v>
      </c>
      <c r="Q52" s="60" t="s">
        <v>133</v>
      </c>
      <c r="R52" s="60" t="s">
        <v>55</v>
      </c>
      <c r="S52" s="60" t="s">
        <v>56</v>
      </c>
      <c r="T52" s="130" t="s">
        <v>61</v>
      </c>
      <c r="U52" s="60" t="s">
        <v>127</v>
      </c>
      <c r="V52" s="60" t="s">
        <v>134</v>
      </c>
      <c r="W52" s="60" t="s">
        <v>135</v>
      </c>
      <c r="X52" s="60" t="s">
        <v>57</v>
      </c>
      <c r="Y52" s="60" t="s">
        <v>136</v>
      </c>
      <c r="Z52" s="60" t="s">
        <v>137</v>
      </c>
      <c r="AA52" s="60" t="s">
        <v>138</v>
      </c>
      <c r="AB52" s="60" t="s">
        <v>139</v>
      </c>
      <c r="AC52" s="60" t="s">
        <v>74</v>
      </c>
      <c r="AD52" s="60" t="s">
        <v>58</v>
      </c>
      <c r="AE52" s="60" t="s">
        <v>140</v>
      </c>
      <c r="AF52" s="61" t="s">
        <v>265</v>
      </c>
      <c r="AG52" s="61" t="s">
        <v>266</v>
      </c>
      <c r="AH52" s="61" t="s">
        <v>267</v>
      </c>
      <c r="AI52" s="130" t="s">
        <v>76</v>
      </c>
      <c r="AJ52" s="60" t="s">
        <v>77</v>
      </c>
      <c r="AK52" s="60" t="s">
        <v>78</v>
      </c>
      <c r="AL52" s="60" t="s">
        <v>79</v>
      </c>
      <c r="AM52" s="60" t="s">
        <v>80</v>
      </c>
      <c r="AN52" s="130" t="s">
        <v>81</v>
      </c>
      <c r="AO52" s="130" t="s">
        <v>82</v>
      </c>
      <c r="AP52" s="60" t="s">
        <v>53</v>
      </c>
      <c r="AQ52" s="60" t="s">
        <v>141</v>
      </c>
      <c r="AR52" s="60" t="s">
        <v>142</v>
      </c>
      <c r="AS52" s="60" t="s">
        <v>143</v>
      </c>
      <c r="AT52" s="60" t="s">
        <v>83</v>
      </c>
      <c r="AU52" s="60" t="s">
        <v>144</v>
      </c>
      <c r="AV52" s="60" t="s">
        <v>84</v>
      </c>
      <c r="AW52" s="60" t="s">
        <v>145</v>
      </c>
      <c r="AX52" s="60" t="s">
        <v>146</v>
      </c>
      <c r="AY52" s="60" t="s">
        <v>85</v>
      </c>
      <c r="AZ52" s="60" t="s">
        <v>60</v>
      </c>
    </row>
    <row r="53" spans="1:52" x14ac:dyDescent="0.35">
      <c r="A53" s="29"/>
      <c r="B53" s="101">
        <f>B48</f>
        <v>5767.5780000000004</v>
      </c>
      <c r="C53" s="29">
        <f>J48</f>
        <v>6697.9790000000003</v>
      </c>
      <c r="D53" s="29">
        <f>K48</f>
        <v>5721.12255859375</v>
      </c>
      <c r="E53" s="29"/>
      <c r="F53" s="133"/>
      <c r="G53" s="133"/>
      <c r="H53" s="34">
        <v>5706.1970000000001</v>
      </c>
      <c r="I53" s="34">
        <v>5787.5349999999999</v>
      </c>
      <c r="J53" s="59">
        <v>5672.2179999999998</v>
      </c>
      <c r="K53" s="29">
        <v>5727.41162109375</v>
      </c>
      <c r="L53" s="29">
        <v>5639.0190000000002</v>
      </c>
      <c r="M53" s="29">
        <v>5628.18</v>
      </c>
      <c r="N53" s="29">
        <v>5658.7666015625</v>
      </c>
      <c r="O53" s="29">
        <v>5635.1044921875</v>
      </c>
      <c r="P53" s="29">
        <v>5700.1875</v>
      </c>
      <c r="Q53" s="29">
        <v>5644.4219999999996</v>
      </c>
      <c r="R53" s="29">
        <v>5711.8040000000001</v>
      </c>
      <c r="S53" s="29">
        <v>5815.7569999999996</v>
      </c>
      <c r="T53" s="29">
        <v>3354.107</v>
      </c>
      <c r="U53" s="29">
        <v>5694.2790000000005</v>
      </c>
      <c r="V53" s="29">
        <v>5622.3984375</v>
      </c>
      <c r="W53" s="29">
        <v>5741.799</v>
      </c>
      <c r="X53" s="29">
        <v>5777.9260000000004</v>
      </c>
      <c r="Y53" s="29">
        <v>5656.9309999999996</v>
      </c>
      <c r="Z53" s="29">
        <v>5637.5060000000003</v>
      </c>
      <c r="AA53" s="29">
        <v>6019.7470000000003</v>
      </c>
      <c r="AB53" s="29">
        <v>6010.3109999999997</v>
      </c>
      <c r="AC53" s="29">
        <v>5899.1083984375</v>
      </c>
      <c r="AD53" s="29">
        <v>5880.2889999999998</v>
      </c>
      <c r="AE53" s="29">
        <v>5589.97</v>
      </c>
      <c r="AF53" s="53">
        <v>6614.335</v>
      </c>
      <c r="AG53" s="53">
        <v>6209.9570000000003</v>
      </c>
      <c r="AH53" s="53">
        <v>6830.1509999999998</v>
      </c>
      <c r="AI53" s="29">
        <v>3356.9349999999999</v>
      </c>
      <c r="AJ53" s="29">
        <v>5709.6689999999999</v>
      </c>
      <c r="AK53" s="29">
        <v>5929.2250000000004</v>
      </c>
      <c r="AL53" s="29">
        <v>5702.00244140625</v>
      </c>
      <c r="AM53" s="29">
        <v>5876.4889999999996</v>
      </c>
      <c r="AN53" s="113">
        <v>3382.0160000000001</v>
      </c>
      <c r="AO53" s="113">
        <v>3053.0630000000001</v>
      </c>
      <c r="AP53" s="29">
        <v>6138.1513671875</v>
      </c>
      <c r="AQ53" s="29">
        <v>5370.28662109375</v>
      </c>
      <c r="AR53" s="29">
        <v>5878.5060000000003</v>
      </c>
      <c r="AS53" s="29">
        <v>5441.7209999999995</v>
      </c>
      <c r="AT53" s="29">
        <v>6119.3459999999995</v>
      </c>
      <c r="AU53" s="29">
        <v>6216.5540000000001</v>
      </c>
      <c r="AV53" s="29">
        <v>5716.63</v>
      </c>
      <c r="AW53" s="29">
        <v>5822.45849609375</v>
      </c>
      <c r="AX53" s="29">
        <v>5844.3980000000001</v>
      </c>
      <c r="AY53" s="29">
        <v>5722.0479999999998</v>
      </c>
      <c r="AZ53" s="29">
        <v>5647.7079999999996</v>
      </c>
    </row>
    <row r="54" spans="1:52" x14ac:dyDescent="0.35">
      <c r="T54" s="14"/>
      <c r="U54" s="14"/>
    </row>
    <row r="55" spans="1:52" x14ac:dyDescent="0.35">
      <c r="A55" s="7"/>
      <c r="B55" s="7">
        <f>D48</f>
        <v>0.14186854088299361</v>
      </c>
      <c r="C55" s="7">
        <f>N48</f>
        <v>-7.3696145964844417E-3</v>
      </c>
      <c r="D55" s="7">
        <f>M48</f>
        <v>9.1283005491221036E-2</v>
      </c>
      <c r="E55" s="7"/>
      <c r="F55" s="7"/>
      <c r="G55" s="7"/>
      <c r="H55" s="1">
        <f>H53/$B$44-1</f>
        <v>0.12971629380320726</v>
      </c>
      <c r="I55" s="1">
        <f>I53/$B$44-1</f>
        <v>0.14581963967531175</v>
      </c>
      <c r="J55" s="1">
        <f t="shared" ref="J55:AZ55" si="11">J53/$B$44-1</f>
        <v>0.1229891110671153</v>
      </c>
      <c r="K55" s="1">
        <f t="shared" si="11"/>
        <v>0.13391637717159965</v>
      </c>
      <c r="L55" s="1">
        <f t="shared" si="11"/>
        <v>0.11641635319738675</v>
      </c>
      <c r="M55" s="1">
        <f t="shared" si="11"/>
        <v>0.11427044149673349</v>
      </c>
      <c r="N55" s="1">
        <f t="shared" si="11"/>
        <v>0.12032599516184916</v>
      </c>
      <c r="O55" s="1">
        <f t="shared" si="11"/>
        <v>0.11564135660017816</v>
      </c>
      <c r="P55" s="1">
        <f t="shared" si="11"/>
        <v>0.12852652940011877</v>
      </c>
      <c r="Q55" s="1">
        <f t="shared" si="11"/>
        <v>0.11748604236784788</v>
      </c>
      <c r="R55" s="1">
        <f t="shared" si="11"/>
        <v>0.13082637101564054</v>
      </c>
      <c r="S55" s="1">
        <f t="shared" si="11"/>
        <v>0.15140704810928529</v>
      </c>
      <c r="T55" s="1">
        <f t="shared" si="11"/>
        <v>-0.33595189071470999</v>
      </c>
      <c r="U55" s="1">
        <f t="shared" si="11"/>
        <v>0.12735676103741844</v>
      </c>
      <c r="V55" s="1">
        <f t="shared" si="11"/>
        <v>0.11312580429617891</v>
      </c>
      <c r="W55" s="1">
        <f t="shared" si="11"/>
        <v>0.13676479904969319</v>
      </c>
      <c r="X55" s="1">
        <f t="shared" si="11"/>
        <v>0.14391724411007734</v>
      </c>
      <c r="Y55" s="1">
        <f t="shared" si="11"/>
        <v>0.11996258166699647</v>
      </c>
      <c r="Z55" s="1">
        <f t="shared" si="11"/>
        <v>0.11611680855276196</v>
      </c>
      <c r="AA55" s="1">
        <f t="shared" si="11"/>
        <v>0.19179311027519308</v>
      </c>
      <c r="AB55" s="1">
        <f t="shared" si="11"/>
        <v>0.1899249653533952</v>
      </c>
      <c r="AC55" s="1">
        <f t="shared" si="11"/>
        <v>0.16790900780785978</v>
      </c>
      <c r="AD55" s="1">
        <f t="shared" si="11"/>
        <v>0.16418313205305868</v>
      </c>
      <c r="AE55" s="1">
        <f t="shared" si="11"/>
        <v>0.10670560285092057</v>
      </c>
      <c r="AF55" s="1">
        <f t="shared" si="11"/>
        <v>0.30950999802019408</v>
      </c>
      <c r="AG55" s="1">
        <f t="shared" si="11"/>
        <v>0.22945099980201955</v>
      </c>
      <c r="AH55" s="1">
        <f t="shared" si="11"/>
        <v>0.35223737873688377</v>
      </c>
      <c r="AI55" s="1">
        <f t="shared" si="11"/>
        <v>-0.33539200158384475</v>
      </c>
      <c r="AJ55" s="1">
        <f t="shared" si="11"/>
        <v>0.13040368243912104</v>
      </c>
      <c r="AK55" s="1">
        <f t="shared" si="11"/>
        <v>0.17387151059196215</v>
      </c>
      <c r="AL55" s="1">
        <f t="shared" si="11"/>
        <v>0.12888585258488416</v>
      </c>
      <c r="AM55" s="1">
        <f t="shared" si="11"/>
        <v>0.16343080578103342</v>
      </c>
      <c r="AN55" s="1">
        <f t="shared" si="11"/>
        <v>-0.33042645020787964</v>
      </c>
      <c r="AO55" s="1">
        <f t="shared" si="11"/>
        <v>-0.39555276182934074</v>
      </c>
      <c r="AP55" s="1">
        <f t="shared" si="11"/>
        <v>0.21523487768511185</v>
      </c>
      <c r="AQ55" s="1">
        <f t="shared" si="11"/>
        <v>6.3212556146060139E-2</v>
      </c>
      <c r="AR55" s="1">
        <f t="shared" si="11"/>
        <v>0.16383013264700064</v>
      </c>
      <c r="AS55" s="1">
        <f t="shared" si="11"/>
        <v>7.7355177192635072E-2</v>
      </c>
      <c r="AT55" s="1">
        <f t="shared" si="11"/>
        <v>0.21151177984557501</v>
      </c>
      <c r="AU55" s="1">
        <f t="shared" si="11"/>
        <v>0.230757077806375</v>
      </c>
      <c r="AV55" s="1">
        <f t="shared" si="11"/>
        <v>0.13178182538111272</v>
      </c>
      <c r="AW55" s="1">
        <f t="shared" si="11"/>
        <v>0.1527338143127599</v>
      </c>
      <c r="AX55" s="1">
        <f t="shared" si="11"/>
        <v>0.15707741041377954</v>
      </c>
      <c r="AY55" s="1">
        <f t="shared" si="11"/>
        <v>0.13285448426054236</v>
      </c>
      <c r="AZ55" s="1">
        <f t="shared" si="11"/>
        <v>0.11813660661255199</v>
      </c>
    </row>
    <row r="56" spans="1:52" x14ac:dyDescent="0.35">
      <c r="C56" s="10"/>
    </row>
    <row r="57" spans="1:52" x14ac:dyDescent="0.35">
      <c r="A57" t="s">
        <v>169</v>
      </c>
      <c r="B57" s="36">
        <v>144</v>
      </c>
      <c r="C57" s="35"/>
      <c r="D57" s="35"/>
      <c r="E57" s="35"/>
      <c r="F57" s="35"/>
      <c r="G57" s="35"/>
    </row>
    <row r="58" spans="1:52" x14ac:dyDescent="0.35">
      <c r="A58" t="s">
        <v>168</v>
      </c>
      <c r="B58" s="29">
        <f>B57*B53/100</f>
        <v>8305.3123200000009</v>
      </c>
      <c r="C58" s="29"/>
    </row>
    <row r="59" spans="1:52" x14ac:dyDescent="0.35">
      <c r="B59" s="29"/>
      <c r="C59" s="29"/>
      <c r="D59" s="29"/>
      <c r="E59" s="29"/>
      <c r="F59" s="29"/>
      <c r="G59" s="29"/>
    </row>
    <row r="60" spans="1:52" x14ac:dyDescent="0.35">
      <c r="B60" s="29"/>
      <c r="D60" s="29"/>
      <c r="E60" s="29"/>
      <c r="F60" s="29"/>
      <c r="G60" s="29"/>
      <c r="H60" s="2" t="s">
        <v>179</v>
      </c>
      <c r="I60" s="6">
        <f>AVERAGE(H55:AZ55)</f>
        <v>0.10777898315652569</v>
      </c>
      <c r="J60" s="4"/>
      <c r="K60" s="14"/>
    </row>
    <row r="61" spans="1:52" x14ac:dyDescent="0.35">
      <c r="H61" t="s">
        <v>180</v>
      </c>
      <c r="I61" s="2">
        <f>MEDIAN(H55:AZ55)</f>
        <v>0.13082637101564054</v>
      </c>
    </row>
    <row r="63" spans="1:52" x14ac:dyDescent="0.35">
      <c r="D63" t="s">
        <v>131</v>
      </c>
      <c r="H63" s="3">
        <f>AVERAGE(H53:AZ53)</f>
        <v>5595.3916439236109</v>
      </c>
      <c r="K63" s="12"/>
      <c r="T63">
        <v>3065.9760000000001</v>
      </c>
    </row>
    <row r="64" spans="1:52" x14ac:dyDescent="0.35">
      <c r="K64" s="13"/>
      <c r="T64">
        <v>3118.6819999999998</v>
      </c>
    </row>
    <row r="65" spans="8:11" x14ac:dyDescent="0.35">
      <c r="H65" t="s">
        <v>62</v>
      </c>
      <c r="I65" s="2">
        <f>MAX(H55:AZ55)</f>
        <v>0.35223737873688377</v>
      </c>
    </row>
    <row r="66" spans="8:11" x14ac:dyDescent="0.35">
      <c r="H66" t="s">
        <v>63</v>
      </c>
      <c r="I66" s="2">
        <f>MIN(H55:AZ55)</f>
        <v>-0.39555276182934074</v>
      </c>
    </row>
    <row r="74" spans="8:11" x14ac:dyDescent="0.35">
      <c r="I74" s="135" t="s">
        <v>272</v>
      </c>
      <c r="J74" s="30" t="s">
        <v>93</v>
      </c>
      <c r="K74" s="30" t="s">
        <v>94</v>
      </c>
    </row>
    <row r="75" spans="8:11" x14ac:dyDescent="0.35">
      <c r="I75" s="135"/>
      <c r="J75" s="31"/>
      <c r="K75" s="31"/>
    </row>
    <row r="76" spans="8:11" x14ac:dyDescent="0.35">
      <c r="I76" s="135"/>
      <c r="J76" s="33">
        <v>3233.1353543606315</v>
      </c>
      <c r="K76" s="33">
        <v>3390.2502149866468</v>
      </c>
    </row>
    <row r="77" spans="8:11" x14ac:dyDescent="0.35">
      <c r="I77" s="135"/>
      <c r="J77" s="114">
        <v>5.9002736443049875E-2</v>
      </c>
      <c r="K77" s="114">
        <v>0.11046518669723127</v>
      </c>
    </row>
    <row r="78" spans="8:11" x14ac:dyDescent="0.35">
      <c r="I78" s="135"/>
      <c r="J78" s="31"/>
      <c r="K78" s="31"/>
    </row>
    <row r="82" spans="2:22" x14ac:dyDescent="0.35">
      <c r="M82">
        <f>6.5+7.8+11.8+7.5</f>
        <v>33.6</v>
      </c>
    </row>
    <row r="83" spans="2:22" x14ac:dyDescent="0.35">
      <c r="K83" t="s">
        <v>93</v>
      </c>
      <c r="L83" t="s">
        <v>94</v>
      </c>
      <c r="M83">
        <f>M82/4</f>
        <v>8.4</v>
      </c>
    </row>
    <row r="85" spans="2:22" x14ac:dyDescent="0.35">
      <c r="J85" t="s">
        <v>247</v>
      </c>
      <c r="K85">
        <v>3233.1353543606315</v>
      </c>
      <c r="L85">
        <v>3390.2502149866468</v>
      </c>
      <c r="V85" s="16"/>
    </row>
    <row r="86" spans="2:22" x14ac:dyDescent="0.35">
      <c r="K86" s="1">
        <v>5.9002736443049875E-2</v>
      </c>
      <c r="L86" s="1">
        <v>0.11046518669723127</v>
      </c>
      <c r="V86" s="2"/>
    </row>
    <row r="87" spans="2:22" x14ac:dyDescent="0.35">
      <c r="V87" s="16"/>
    </row>
    <row r="88" spans="2:22" x14ac:dyDescent="0.35">
      <c r="V88" s="2"/>
    </row>
    <row r="89" spans="2:22" x14ac:dyDescent="0.35">
      <c r="V89" s="16"/>
    </row>
    <row r="90" spans="2:22" x14ac:dyDescent="0.35">
      <c r="V90" s="2"/>
    </row>
    <row r="91" spans="2:22" x14ac:dyDescent="0.35">
      <c r="B91" s="8" t="s">
        <v>86</v>
      </c>
      <c r="H91" s="26">
        <f>B53</f>
        <v>5767.5780000000004</v>
      </c>
      <c r="J91" s="7">
        <f>B55</f>
        <v>0.14186854088299361</v>
      </c>
      <c r="L91" t="s">
        <v>166</v>
      </c>
      <c r="V91" s="16"/>
    </row>
    <row r="92" spans="2:22" x14ac:dyDescent="0.35">
      <c r="H92" s="15"/>
      <c r="J92" s="2"/>
    </row>
    <row r="93" spans="2:22" x14ac:dyDescent="0.35">
      <c r="B93" s="8" t="s">
        <v>87</v>
      </c>
      <c r="H93" s="26">
        <f>C53</f>
        <v>6697.9790000000003</v>
      </c>
      <c r="J93" s="7">
        <f>C55</f>
        <v>-7.3696145964844417E-3</v>
      </c>
      <c r="L93" t="s">
        <v>166</v>
      </c>
    </row>
    <row r="94" spans="2:22" x14ac:dyDescent="0.35">
      <c r="H94" s="15"/>
      <c r="J94" s="2"/>
    </row>
    <row r="95" spans="2:22" x14ac:dyDescent="0.35">
      <c r="B95" s="8" t="s">
        <v>88</v>
      </c>
      <c r="H95" s="26">
        <f>D53</f>
        <v>5721.12255859375</v>
      </c>
      <c r="J95" s="7">
        <f>D55</f>
        <v>9.1283005491221036E-2</v>
      </c>
      <c r="L95" t="s">
        <v>176</v>
      </c>
    </row>
    <row r="96" spans="2:22" x14ac:dyDescent="0.35">
      <c r="H96" s="15"/>
      <c r="J96" s="2"/>
    </row>
    <row r="97" spans="1:52" x14ac:dyDescent="0.35">
      <c r="B97" s="8"/>
      <c r="H97" s="27"/>
      <c r="J97" s="16"/>
    </row>
    <row r="101" spans="1:52" s="5" customFormat="1" x14ac:dyDescent="0.35">
      <c r="A101" s="5" t="s">
        <v>273</v>
      </c>
    </row>
    <row r="103" spans="1:52" x14ac:dyDescent="0.35">
      <c r="H103" s="23"/>
      <c r="I103" s="23"/>
      <c r="J103" s="23"/>
      <c r="K103" s="23"/>
      <c r="L103" s="24"/>
      <c r="M103" s="23"/>
      <c r="N103" s="24"/>
      <c r="O103" s="25"/>
      <c r="P103" s="24"/>
      <c r="Q103" s="24"/>
      <c r="R103" s="23"/>
      <c r="S103" s="23"/>
      <c r="T103" s="24"/>
      <c r="U103" s="24"/>
      <c r="V103" s="23"/>
      <c r="W103" s="24"/>
      <c r="X103" s="23"/>
      <c r="Y103" s="23"/>
      <c r="Z103" s="19"/>
      <c r="AA103" s="19"/>
      <c r="AB103" s="23"/>
      <c r="AC103" s="24"/>
      <c r="AD103" s="24"/>
      <c r="AE103" s="19"/>
      <c r="AF103" s="23"/>
      <c r="AG103" s="23"/>
      <c r="AH103" s="23"/>
      <c r="AI103" s="23"/>
      <c r="AJ103" s="24"/>
      <c r="AK103" s="24"/>
      <c r="AL103" s="24"/>
      <c r="AM103" s="23"/>
    </row>
    <row r="104" spans="1:52" s="111" customFormat="1" ht="58" x14ac:dyDescent="0.35">
      <c r="A104" s="110"/>
      <c r="B104" s="110" t="s">
        <v>92</v>
      </c>
      <c r="C104" s="110" t="s">
        <v>87</v>
      </c>
      <c r="D104" s="110" t="s">
        <v>88</v>
      </c>
      <c r="E104" s="110"/>
      <c r="F104" s="110"/>
      <c r="G104" s="110"/>
      <c r="H104" s="60" t="s">
        <v>69</v>
      </c>
      <c r="I104" s="60" t="s">
        <v>70</v>
      </c>
      <c r="J104" s="60" t="s">
        <v>52</v>
      </c>
      <c r="K104" s="60" t="s">
        <v>51</v>
      </c>
      <c r="L104" s="60" t="s">
        <v>54</v>
      </c>
      <c r="M104" s="60" t="s">
        <v>71</v>
      </c>
      <c r="N104" s="60" t="s">
        <v>72</v>
      </c>
      <c r="O104" s="60" t="s">
        <v>73</v>
      </c>
      <c r="P104" s="60" t="s">
        <v>132</v>
      </c>
      <c r="Q104" s="60" t="s">
        <v>133</v>
      </c>
      <c r="R104" s="60" t="s">
        <v>55</v>
      </c>
      <c r="S104" s="60" t="s">
        <v>56</v>
      </c>
      <c r="T104" s="130" t="s">
        <v>61</v>
      </c>
      <c r="U104" s="60" t="s">
        <v>127</v>
      </c>
      <c r="V104" s="60" t="s">
        <v>134</v>
      </c>
      <c r="W104" s="60" t="s">
        <v>135</v>
      </c>
      <c r="X104" s="60" t="s">
        <v>57</v>
      </c>
      <c r="Y104" s="60" t="s">
        <v>136</v>
      </c>
      <c r="Z104" s="60" t="s">
        <v>137</v>
      </c>
      <c r="AA104" s="60" t="s">
        <v>138</v>
      </c>
      <c r="AB104" s="60" t="s">
        <v>139</v>
      </c>
      <c r="AC104" s="60" t="s">
        <v>74</v>
      </c>
      <c r="AD104" s="60" t="s">
        <v>58</v>
      </c>
      <c r="AE104" s="60" t="s">
        <v>140</v>
      </c>
      <c r="AF104" s="61" t="s">
        <v>265</v>
      </c>
      <c r="AG104" s="61" t="s">
        <v>266</v>
      </c>
      <c r="AH104" s="61" t="s">
        <v>267</v>
      </c>
      <c r="AI104" s="130" t="s">
        <v>76</v>
      </c>
      <c r="AJ104" s="60" t="s">
        <v>77</v>
      </c>
      <c r="AK104" s="60" t="s">
        <v>78</v>
      </c>
      <c r="AL104" s="60" t="s">
        <v>79</v>
      </c>
      <c r="AM104" s="60" t="s">
        <v>80</v>
      </c>
      <c r="AN104" s="130" t="s">
        <v>81</v>
      </c>
      <c r="AO104" s="130" t="s">
        <v>82</v>
      </c>
      <c r="AP104" s="60" t="s">
        <v>53</v>
      </c>
      <c r="AQ104" s="60" t="s">
        <v>141</v>
      </c>
      <c r="AR104" s="60" t="s">
        <v>142</v>
      </c>
      <c r="AS104" s="60" t="s">
        <v>143</v>
      </c>
      <c r="AT104" s="60" t="s">
        <v>83</v>
      </c>
      <c r="AU104" s="60" t="s">
        <v>144</v>
      </c>
      <c r="AV104" s="60" t="s">
        <v>84</v>
      </c>
      <c r="AW104" s="60" t="s">
        <v>145</v>
      </c>
      <c r="AX104" s="60" t="s">
        <v>146</v>
      </c>
      <c r="AY104" s="60" t="s">
        <v>85</v>
      </c>
      <c r="AZ104" s="60" t="s">
        <v>60</v>
      </c>
    </row>
    <row r="105" spans="1:52" x14ac:dyDescent="0.35">
      <c r="B105" s="29">
        <f>B49</f>
        <v>5994.902</v>
      </c>
      <c r="C105" s="29">
        <f>J49</f>
        <v>6958.3609999999999</v>
      </c>
      <c r="D105" s="29">
        <f>K49</f>
        <v>5946.7960000000003</v>
      </c>
      <c r="E105" s="29"/>
      <c r="F105" s="29"/>
      <c r="G105" s="29"/>
      <c r="H105" s="152">
        <v>5826.99951171875</v>
      </c>
      <c r="I105" s="152">
        <v>5592.5780000000004</v>
      </c>
      <c r="J105" s="152">
        <v>5822.66650390625</v>
      </c>
      <c r="K105" s="152">
        <v>5796.6310000000003</v>
      </c>
      <c r="L105" s="152">
        <v>5971.9080000000004</v>
      </c>
      <c r="M105" s="152">
        <v>5920.8010000000004</v>
      </c>
      <c r="N105" s="152">
        <v>5210.1980000000003</v>
      </c>
      <c r="O105" s="152">
        <v>5802.54052734375</v>
      </c>
      <c r="P105" s="152">
        <v>5830.896484375</v>
      </c>
      <c r="Q105" s="152">
        <v>5837.05</v>
      </c>
      <c r="R105" s="152">
        <v>5827.2889999999998</v>
      </c>
      <c r="S105" s="152">
        <v>5741.6959999999999</v>
      </c>
      <c r="T105" s="29">
        <v>3412.77</v>
      </c>
      <c r="U105" s="152">
        <v>5705.97</v>
      </c>
      <c r="V105" s="152">
        <v>5744.2569999999996</v>
      </c>
      <c r="W105" s="152">
        <v>5860.12060546875</v>
      </c>
      <c r="X105" s="152">
        <v>5714.11</v>
      </c>
      <c r="Y105" s="152">
        <v>5791.7265625</v>
      </c>
      <c r="Z105" s="152">
        <v>5792.6809999999996</v>
      </c>
      <c r="AA105" s="152">
        <v>5850.1310000000003</v>
      </c>
      <c r="AB105" s="152">
        <v>5688.52734375</v>
      </c>
      <c r="AC105" s="152">
        <v>5717.9539999999997</v>
      </c>
      <c r="AD105" s="152">
        <v>5759.54248046875</v>
      </c>
      <c r="AE105" s="152">
        <v>5968.109375</v>
      </c>
      <c r="AF105" s="59">
        <v>6873.9719999999998</v>
      </c>
      <c r="AG105" s="59">
        <v>5586.95458984375</v>
      </c>
      <c r="AH105" s="59">
        <v>7091.7089999999998</v>
      </c>
      <c r="AI105" s="29">
        <v>3440.7510000000002</v>
      </c>
      <c r="AJ105" s="152">
        <v>5776.50634765625</v>
      </c>
      <c r="AK105" s="152">
        <v>5925.0770000000002</v>
      </c>
      <c r="AL105" s="59">
        <v>3505.9720000000002</v>
      </c>
      <c r="AM105" s="152">
        <v>5680.3689999999997</v>
      </c>
      <c r="AN105" s="29">
        <v>3428.922</v>
      </c>
      <c r="AO105" s="29">
        <v>3108.038</v>
      </c>
      <c r="AP105" s="152">
        <v>5986.4229999999998</v>
      </c>
      <c r="AQ105" s="152">
        <v>6280.33154296875</v>
      </c>
      <c r="AR105" s="152">
        <v>5570.7129999999997</v>
      </c>
      <c r="AS105" s="152">
        <v>5488.451</v>
      </c>
      <c r="AT105" s="152">
        <v>6530.192</v>
      </c>
      <c r="AU105" s="152">
        <v>5819.16748046875</v>
      </c>
      <c r="AV105" s="152">
        <v>6012.943359375</v>
      </c>
      <c r="AW105" s="152">
        <v>5873.771484375</v>
      </c>
      <c r="AX105" s="152">
        <v>5754.6940000000004</v>
      </c>
      <c r="AY105" s="152">
        <v>5728.4660000000003</v>
      </c>
      <c r="AZ105" s="152">
        <v>5904.3760000000002</v>
      </c>
    </row>
    <row r="106" spans="1:52" x14ac:dyDescent="0.35">
      <c r="T106" s="14"/>
      <c r="U106" s="14"/>
    </row>
    <row r="107" spans="1:52" x14ac:dyDescent="0.35">
      <c r="A107" s="7"/>
      <c r="B107" s="7">
        <f>D49</f>
        <v>8.2112274368230986E-2</v>
      </c>
      <c r="C107" s="7">
        <f>M49</f>
        <v>8.3901510604562191E-2</v>
      </c>
      <c r="D107" s="7">
        <f>N49</f>
        <v>8.1719603058659329E-2</v>
      </c>
      <c r="E107" s="7"/>
      <c r="F107" s="7"/>
      <c r="G107" s="7"/>
      <c r="H107" s="1">
        <f>H105/$B$45-1</f>
        <v>5.1804966014214804E-2</v>
      </c>
      <c r="I107" s="1">
        <f>I105/$B$45-1</f>
        <v>9.4906137184116446E-3</v>
      </c>
      <c r="J107" s="1">
        <f>J105/$B$45-1</f>
        <v>5.1022834640117365E-2</v>
      </c>
      <c r="K107" s="1">
        <f t="shared" ref="K107:AZ107" si="12">K105/$B$45-1</f>
        <v>4.6323285198555997E-2</v>
      </c>
      <c r="L107" s="1">
        <f t="shared" si="12"/>
        <v>7.796173285198571E-2</v>
      </c>
      <c r="M107" s="1">
        <f t="shared" si="12"/>
        <v>6.8736642599278142E-2</v>
      </c>
      <c r="N107" s="1">
        <f t="shared" si="12"/>
        <v>-5.9531046931407872E-2</v>
      </c>
      <c r="O107" s="1">
        <f t="shared" si="12"/>
        <v>4.7389986885153501E-2</v>
      </c>
      <c r="P107" s="1">
        <f t="shared" si="12"/>
        <v>5.250839068140789E-2</v>
      </c>
      <c r="Q107" s="1">
        <f t="shared" si="12"/>
        <v>5.3619133574007272E-2</v>
      </c>
      <c r="R107" s="1">
        <f t="shared" si="12"/>
        <v>5.1857220216606548E-2</v>
      </c>
      <c r="S107" s="1">
        <f t="shared" si="12"/>
        <v>3.6407220216606584E-2</v>
      </c>
      <c r="T107" s="1">
        <f t="shared" si="12"/>
        <v>-0.38397653429602885</v>
      </c>
      <c r="U107" s="1">
        <f t="shared" si="12"/>
        <v>2.9958483754512599E-2</v>
      </c>
      <c r="V107" s="1">
        <f t="shared" si="12"/>
        <v>3.686949458483757E-2</v>
      </c>
      <c r="W107" s="1">
        <f t="shared" si="12"/>
        <v>5.7783502792193131E-2</v>
      </c>
      <c r="X107" s="1">
        <f t="shared" si="12"/>
        <v>3.1427797833935012E-2</v>
      </c>
      <c r="Y107" s="1">
        <f t="shared" si="12"/>
        <v>4.5438007671480207E-2</v>
      </c>
      <c r="Z107" s="1">
        <f t="shared" si="12"/>
        <v>4.5610288808664246E-2</v>
      </c>
      <c r="AA107" s="1">
        <f t="shared" si="12"/>
        <v>5.5980324909747248E-2</v>
      </c>
      <c r="AB107" s="1">
        <f t="shared" si="12"/>
        <v>2.6809989846570348E-2</v>
      </c>
      <c r="AC107" s="1">
        <f t="shared" si="12"/>
        <v>3.2121660649819361E-2</v>
      </c>
      <c r="AD107" s="1">
        <f t="shared" si="12"/>
        <v>3.9628606582806869E-2</v>
      </c>
      <c r="AE107" s="1">
        <f t="shared" si="12"/>
        <v>7.7276060469314123E-2</v>
      </c>
      <c r="AF107" s="1">
        <f t="shared" si="12"/>
        <v>0.24078916967509012</v>
      </c>
      <c r="AG107" s="1">
        <f t="shared" si="12"/>
        <v>8.4755577335289267E-3</v>
      </c>
      <c r="AH107" s="1">
        <f t="shared" si="12"/>
        <v>0.28009187725631768</v>
      </c>
      <c r="AI107" s="1">
        <f t="shared" si="12"/>
        <v>-0.37892581227436817</v>
      </c>
      <c r="AJ107" s="1">
        <f t="shared" si="12"/>
        <v>4.2690676472247224E-2</v>
      </c>
      <c r="AK107" s="1">
        <f t="shared" si="12"/>
        <v>6.9508483754512573E-2</v>
      </c>
      <c r="AL107" s="1">
        <f t="shared" si="12"/>
        <v>-0.36715306859205776</v>
      </c>
      <c r="AM107" s="1">
        <f t="shared" si="12"/>
        <v>2.5337364620938496E-2</v>
      </c>
      <c r="AN107" s="1">
        <f t="shared" si="12"/>
        <v>-0.38106101083032495</v>
      </c>
      <c r="AO107" s="1">
        <f t="shared" si="12"/>
        <v>-0.43898231046931413</v>
      </c>
      <c r="AP107" s="1">
        <f t="shared" si="12"/>
        <v>8.0581768953068567E-2</v>
      </c>
      <c r="AQ107" s="1">
        <f t="shared" si="12"/>
        <v>0.13363385252143511</v>
      </c>
      <c r="AR107" s="1">
        <f t="shared" si="12"/>
        <v>5.5438628158843706E-3</v>
      </c>
      <c r="AS107" s="1">
        <f t="shared" si="12"/>
        <v>-9.3048736462093551E-3</v>
      </c>
      <c r="AT107" s="1">
        <f t="shared" si="12"/>
        <v>0.17873501805054159</v>
      </c>
      <c r="AU107" s="1">
        <f t="shared" si="12"/>
        <v>5.0391241961868172E-2</v>
      </c>
      <c r="AV107" s="1">
        <f t="shared" si="12"/>
        <v>8.5368837432310496E-2</v>
      </c>
      <c r="AW107" s="1">
        <f t="shared" si="12"/>
        <v>6.0247560356498253E-2</v>
      </c>
      <c r="AX107" s="1">
        <f t="shared" si="12"/>
        <v>3.875342960288819E-2</v>
      </c>
      <c r="AY107" s="1">
        <f t="shared" si="12"/>
        <v>3.401913357400721E-2</v>
      </c>
      <c r="AZ107" s="1">
        <f t="shared" si="12"/>
        <v>6.5771841155234601E-2</v>
      </c>
    </row>
    <row r="108" spans="1:52" x14ac:dyDescent="0.35">
      <c r="D108" s="1"/>
      <c r="E108" s="1"/>
      <c r="F108" s="1"/>
      <c r="G108" s="1"/>
      <c r="AD108" s="10"/>
    </row>
    <row r="109" spans="1:52" x14ac:dyDescent="0.35">
      <c r="B109" s="29"/>
      <c r="D109" s="29"/>
      <c r="E109" s="29"/>
      <c r="F109" s="29"/>
      <c r="G109" s="29"/>
      <c r="AD109" s="1"/>
    </row>
    <row r="110" spans="1:52" x14ac:dyDescent="0.35">
      <c r="B110" s="29"/>
      <c r="C110" s="29"/>
      <c r="D110" s="29"/>
      <c r="E110" s="29"/>
      <c r="F110" s="29"/>
      <c r="G110" s="29"/>
      <c r="H110" s="2" t="s">
        <v>179</v>
      </c>
      <c r="I110" s="55">
        <f>AVERAGE(H107:AZ107)</f>
        <v>9.0451391865974812E-3</v>
      </c>
      <c r="J110" s="4"/>
    </row>
    <row r="111" spans="1:52" x14ac:dyDescent="0.35">
      <c r="H111" t="s">
        <v>180</v>
      </c>
      <c r="I111" s="2">
        <f>MEDIAN(H107:AZ107)</f>
        <v>4.5610288808664246E-2</v>
      </c>
    </row>
    <row r="113" spans="2:23" x14ac:dyDescent="0.35">
      <c r="B113" s="29"/>
      <c r="D113" s="29" t="s">
        <v>183</v>
      </c>
      <c r="E113" s="29"/>
      <c r="F113" s="29"/>
      <c r="G113" s="29"/>
      <c r="H113" s="3">
        <f>AVERAGE(H105:AZ105)</f>
        <v>5590.1100710937499</v>
      </c>
      <c r="P113" s="8"/>
      <c r="R113" s="8"/>
      <c r="S113" s="8"/>
      <c r="U113" s="8"/>
      <c r="W113" s="8"/>
    </row>
    <row r="115" spans="2:23" x14ac:dyDescent="0.35">
      <c r="H115" t="s">
        <v>181</v>
      </c>
      <c r="I115" s="2">
        <f>MAX(H107:AZ107)</f>
        <v>0.28009187725631768</v>
      </c>
      <c r="P115" s="16"/>
      <c r="Q115" s="2"/>
      <c r="R115" s="16"/>
      <c r="S115" s="16"/>
      <c r="T115" s="2"/>
      <c r="U115" s="16"/>
      <c r="V115" s="2"/>
      <c r="W115" s="16"/>
    </row>
    <row r="116" spans="2:23" x14ac:dyDescent="0.35">
      <c r="H116" t="s">
        <v>182</v>
      </c>
      <c r="I116" s="2">
        <f>MIN(H107:AZ107)</f>
        <v>-0.43898231046931413</v>
      </c>
    </row>
    <row r="124" spans="2:23" x14ac:dyDescent="0.35">
      <c r="J124" s="135" t="s">
        <v>274</v>
      </c>
      <c r="K124" s="30" t="s">
        <v>93</v>
      </c>
      <c r="L124" s="30" t="s">
        <v>94</v>
      </c>
    </row>
    <row r="125" spans="2:23" x14ac:dyDescent="0.35">
      <c r="J125" s="135"/>
      <c r="K125" s="31"/>
      <c r="L125" s="31"/>
    </row>
    <row r="126" spans="2:23" x14ac:dyDescent="0.35">
      <c r="J126" s="135"/>
      <c r="K126" s="33">
        <v>3285.7413543606312</v>
      </c>
      <c r="L126" s="33">
        <v>3442.8562149866466</v>
      </c>
    </row>
    <row r="127" spans="2:23" x14ac:dyDescent="0.35">
      <c r="J127" s="135"/>
      <c r="K127" s="32">
        <v>4.4418739466189239E-2</v>
      </c>
      <c r="L127" s="32">
        <v>9.435989033269121E-2</v>
      </c>
    </row>
    <row r="128" spans="2:23" x14ac:dyDescent="0.35">
      <c r="J128" s="135"/>
      <c r="K128" s="31"/>
      <c r="L128" s="31"/>
    </row>
    <row r="133" spans="3:17" x14ac:dyDescent="0.35">
      <c r="K133">
        <v>8.6999999999999993</v>
      </c>
    </row>
    <row r="134" spans="3:17" x14ac:dyDescent="0.35">
      <c r="K134">
        <v>6.2</v>
      </c>
    </row>
    <row r="141" spans="3:17" x14ac:dyDescent="0.35">
      <c r="Q141" s="16"/>
    </row>
    <row r="143" spans="3:17" x14ac:dyDescent="0.35">
      <c r="C143" s="8" t="s">
        <v>86</v>
      </c>
      <c r="I143" s="26">
        <f>B105</f>
        <v>5994.902</v>
      </c>
      <c r="K143" s="7">
        <f>B107</f>
        <v>8.2112274368230986E-2</v>
      </c>
      <c r="M143" t="s">
        <v>166</v>
      </c>
      <c r="Q143" s="16"/>
    </row>
    <row r="145" spans="3:18" x14ac:dyDescent="0.35">
      <c r="C145" s="8" t="s">
        <v>87</v>
      </c>
      <c r="I145" s="26">
        <f>C105</f>
        <v>6958.3609999999999</v>
      </c>
      <c r="K145" s="7">
        <f>C107</f>
        <v>8.3901510604562191E-2</v>
      </c>
      <c r="M145" t="s">
        <v>224</v>
      </c>
      <c r="Q145" s="16"/>
    </row>
    <row r="147" spans="3:18" x14ac:dyDescent="0.35">
      <c r="C147" s="8" t="s">
        <v>88</v>
      </c>
      <c r="I147" s="26">
        <f>D105</f>
        <v>5946.7960000000003</v>
      </c>
      <c r="K147" s="7">
        <f>D107</f>
        <v>8.1719603058659329E-2</v>
      </c>
      <c r="M147" t="s">
        <v>176</v>
      </c>
      <c r="Q147" s="16"/>
    </row>
    <row r="149" spans="3:18" x14ac:dyDescent="0.35">
      <c r="C149" s="8"/>
      <c r="I149" s="28"/>
      <c r="K149" s="16"/>
    </row>
    <row r="152" spans="3:18" x14ac:dyDescent="0.35">
      <c r="J152" s="136" t="s">
        <v>177</v>
      </c>
      <c r="K152" s="136"/>
      <c r="L152" s="136"/>
      <c r="M152" s="136"/>
      <c r="N152" s="137" t="s">
        <v>178</v>
      </c>
      <c r="O152" s="137"/>
      <c r="P152" s="137"/>
      <c r="Q152" s="137"/>
      <c r="R152" s="8"/>
    </row>
    <row r="153" spans="3:18" x14ac:dyDescent="0.35">
      <c r="J153" s="57" t="s">
        <v>149</v>
      </c>
      <c r="K153" s="57" t="s">
        <v>150</v>
      </c>
      <c r="L153" s="57" t="s">
        <v>151</v>
      </c>
      <c r="M153" s="57" t="s">
        <v>152</v>
      </c>
      <c r="N153" s="58"/>
      <c r="O153" s="58" t="s">
        <v>149</v>
      </c>
      <c r="P153" s="58" t="s">
        <v>150</v>
      </c>
      <c r="Q153" s="58" t="s">
        <v>151</v>
      </c>
      <c r="R153" s="8" t="s">
        <v>152</v>
      </c>
    </row>
    <row r="154" spans="3:18" x14ac:dyDescent="0.35">
      <c r="I154" t="s">
        <v>184</v>
      </c>
      <c r="J154" s="7">
        <f>D36</f>
        <v>7.658321060382911E-2</v>
      </c>
      <c r="K154" s="7">
        <f>D37</f>
        <v>2.5985465756441339E-2</v>
      </c>
      <c r="L154" s="7">
        <f>B55</f>
        <v>0.14186854088299361</v>
      </c>
      <c r="M154" s="7">
        <f>B107</f>
        <v>8.2112274368230986E-2</v>
      </c>
      <c r="N154" s="7">
        <f>AVERAGE(J154:M154)</f>
        <v>8.1637372902873762E-2</v>
      </c>
      <c r="O154" s="56">
        <f>B55</f>
        <v>0.14186854088299361</v>
      </c>
      <c r="P154" s="106">
        <f>B107</f>
        <v>8.2112274368230986E-2</v>
      </c>
      <c r="Q154" s="5"/>
    </row>
    <row r="155" spans="3:18" x14ac:dyDescent="0.35">
      <c r="I155" t="s">
        <v>186</v>
      </c>
      <c r="J155" s="7">
        <f>D36</f>
        <v>7.658321060382911E-2</v>
      </c>
      <c r="K155" s="7">
        <f>D37</f>
        <v>2.5985465756441339E-2</v>
      </c>
      <c r="L155" s="7">
        <f>D38</f>
        <v>0.10617860851505712</v>
      </c>
      <c r="M155" s="7">
        <f>D39</f>
        <v>0.13479758828596045</v>
      </c>
      <c r="N155" s="7">
        <f>AVERAGE(J155:M155)</f>
        <v>8.5886218290322003E-2</v>
      </c>
      <c r="O155" s="2">
        <v>9.7000000000000003E-2</v>
      </c>
      <c r="P155" s="2">
        <v>8.2000000000000003E-2</v>
      </c>
      <c r="Q155" s="1">
        <v>7.9000000000000001E-2</v>
      </c>
      <c r="R155" s="1">
        <v>5.0999999999999997E-2</v>
      </c>
    </row>
    <row r="156" spans="3:18" x14ac:dyDescent="0.35">
      <c r="I156" t="s">
        <v>187</v>
      </c>
      <c r="M156" s="16"/>
      <c r="N156" s="7">
        <v>6.2E-2</v>
      </c>
      <c r="O156" s="2"/>
      <c r="P156" s="2"/>
      <c r="Q156" s="2"/>
    </row>
    <row r="157" spans="3:18" x14ac:dyDescent="0.35">
      <c r="I157" s="138" t="s">
        <v>185</v>
      </c>
      <c r="J157" s="7"/>
      <c r="K157" s="7"/>
      <c r="L157" s="7"/>
      <c r="M157" s="7"/>
      <c r="N157" s="54">
        <f>N154-N156</f>
        <v>1.9637372902873762E-2</v>
      </c>
    </row>
    <row r="158" spans="3:18" x14ac:dyDescent="0.35">
      <c r="I158" s="138"/>
      <c r="J158" s="2">
        <f t="shared" ref="J158:O158" si="13">J154-J155</f>
        <v>0</v>
      </c>
      <c r="K158" s="2">
        <f t="shared" si="13"/>
        <v>0</v>
      </c>
      <c r="L158" s="2">
        <f t="shared" si="13"/>
        <v>3.5689932367936494E-2</v>
      </c>
      <c r="M158" s="2">
        <f t="shared" si="13"/>
        <v>-5.2685313917729459E-2</v>
      </c>
      <c r="N158" s="2">
        <f t="shared" si="13"/>
        <v>-4.2488453874482413E-3</v>
      </c>
      <c r="O158" s="2">
        <f t="shared" si="13"/>
        <v>4.4868540882993607E-2</v>
      </c>
    </row>
    <row r="159" spans="3:18" x14ac:dyDescent="0.35">
      <c r="J159" s="4"/>
      <c r="K159" s="4"/>
      <c r="L159" s="4"/>
      <c r="M159" s="4"/>
    </row>
  </sheetData>
  <mergeCells count="5">
    <mergeCell ref="I74:I78"/>
    <mergeCell ref="J124:J128"/>
    <mergeCell ref="J152:M152"/>
    <mergeCell ref="N152:Q152"/>
    <mergeCell ref="I157:I158"/>
  </mergeCells>
  <phoneticPr fontId="8" type="noConversion"/>
  <conditionalFormatting sqref="B4:B47">
    <cfRule type="cellIs" dxfId="5" priority="4" operator="lessThan">
      <formula>0</formula>
    </cfRule>
  </conditionalFormatting>
  <conditionalFormatting sqref="B48:B49">
    <cfRule type="cellIs" dxfId="4" priority="3" operator="lessThan">
      <formula>0</formula>
    </cfRule>
  </conditionalFormatting>
  <conditionalFormatting sqref="E4:E44">
    <cfRule type="cellIs" dxfId="3" priority="2" operator="lessThan">
      <formula>0</formula>
    </cfRule>
  </conditionalFormatting>
  <conditionalFormatting sqref="E45:E49">
    <cfRule type="cellIs" dxfId="2" priority="1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FB0-C3A5-46EF-A89C-1514C54CF849}">
  <dimension ref="A2:M14"/>
  <sheetViews>
    <sheetView workbookViewId="0">
      <selection activeCell="C5" sqref="C5"/>
    </sheetView>
  </sheetViews>
  <sheetFormatPr defaultRowHeight="14.5" x14ac:dyDescent="0.35"/>
  <cols>
    <col min="3" max="3" width="8.81640625" bestFit="1" customWidth="1"/>
  </cols>
  <sheetData>
    <row r="2" spans="1:13" x14ac:dyDescent="0.35">
      <c r="B2" t="s">
        <v>252</v>
      </c>
      <c r="C2" t="s">
        <v>253</v>
      </c>
      <c r="D2" t="s">
        <v>260</v>
      </c>
      <c r="E2" t="s">
        <v>259</v>
      </c>
      <c r="F2" t="s">
        <v>258</v>
      </c>
    </row>
    <row r="3" spans="1:13" x14ac:dyDescent="0.35">
      <c r="A3" s="125">
        <f>C3/D3*100</f>
        <v>3141.1764705882351</v>
      </c>
      <c r="B3" s="104">
        <v>3146</v>
      </c>
      <c r="C3" s="125">
        <v>4806</v>
      </c>
      <c r="D3" s="125">
        <v>153</v>
      </c>
      <c r="E3" s="80">
        <v>4.7945205479452024E-2</v>
      </c>
      <c r="F3" s="2">
        <f>D10</f>
        <v>4.1050426406323837E-2</v>
      </c>
      <c r="G3" s="80"/>
      <c r="H3" s="80"/>
      <c r="I3" s="80"/>
    </row>
    <row r="4" spans="1:13" x14ac:dyDescent="0.35">
      <c r="A4" s="125">
        <f t="shared" ref="A4:A5" si="0">C4/D4*100</f>
        <v>3271.0526315789471</v>
      </c>
      <c r="B4" s="112">
        <v>3274</v>
      </c>
      <c r="C4" s="125">
        <v>4972</v>
      </c>
      <c r="D4" s="125">
        <v>152</v>
      </c>
      <c r="E4" s="80">
        <v>2.7027027027026973E-2</v>
      </c>
      <c r="F4" s="2">
        <f>G10</f>
        <v>5.1728811253456186E-2</v>
      </c>
    </row>
    <row r="5" spans="1:13" x14ac:dyDescent="0.35">
      <c r="A5" s="125">
        <f t="shared" si="0"/>
        <v>3243.8271604938273</v>
      </c>
      <c r="B5" s="101">
        <v>3241</v>
      </c>
      <c r="C5" s="125">
        <v>5255</v>
      </c>
      <c r="D5" s="125">
        <v>162</v>
      </c>
      <c r="E5" s="80">
        <v>8.7248322147650992E-2</v>
      </c>
      <c r="F5" s="2">
        <f>J10</f>
        <v>6.7456487461849735E-2</v>
      </c>
    </row>
    <row r="6" spans="1:13" x14ac:dyDescent="0.35">
      <c r="B6" s="101">
        <v>3310.9110000000001</v>
      </c>
      <c r="C6" s="128">
        <f>B6*D6/100</f>
        <v>5471.6692928859065</v>
      </c>
      <c r="D6" s="127">
        <v>165.26174496644296</v>
      </c>
      <c r="E6" s="126">
        <f>E5</f>
        <v>8.7248322147650992E-2</v>
      </c>
      <c r="F6" s="2">
        <f>M10</f>
        <v>6.7322850004941717E-2</v>
      </c>
    </row>
    <row r="7" spans="1:13" x14ac:dyDescent="0.35">
      <c r="B7" t="s">
        <v>261</v>
      </c>
      <c r="C7" s="129">
        <f>SUM(C3:C6)</f>
        <v>20504.669292885905</v>
      </c>
    </row>
    <row r="8" spans="1:13" x14ac:dyDescent="0.35">
      <c r="B8" t="s">
        <v>256</v>
      </c>
      <c r="C8">
        <v>21512</v>
      </c>
      <c r="D8" s="1">
        <f>C8/C7-1</f>
        <v>4.9126893622399859E-2</v>
      </c>
    </row>
    <row r="9" spans="1:13" x14ac:dyDescent="0.35">
      <c r="A9" t="s">
        <v>257</v>
      </c>
      <c r="B9" s="1">
        <v>4.8478972328930503E-2</v>
      </c>
      <c r="C9" s="1">
        <v>4.9507650540012493E-2</v>
      </c>
      <c r="D9" s="1">
        <v>2.5164656350028514E-2</v>
      </c>
      <c r="E9" s="1">
        <v>3.7744310408021731E-2</v>
      </c>
      <c r="F9" s="1">
        <v>4.9654130038269795E-2</v>
      </c>
      <c r="G9" s="1">
        <v>6.7787993314077033E-2</v>
      </c>
      <c r="H9" s="1">
        <v>7.448307651635977E-2</v>
      </c>
      <c r="I9" s="1">
        <v>6.2532304706540254E-2</v>
      </c>
      <c r="J9" s="1">
        <v>6.535408116264918E-2</v>
      </c>
      <c r="K9" s="1">
        <v>6.270695383382674E-2</v>
      </c>
      <c r="L9" s="1">
        <v>6.892061617601053E-2</v>
      </c>
      <c r="M9" s="1">
        <v>7.0340980004987896E-2</v>
      </c>
    </row>
    <row r="10" spans="1:13" x14ac:dyDescent="0.35">
      <c r="D10" s="2">
        <f>AVERAGE(B9:D9)</f>
        <v>4.1050426406323837E-2</v>
      </c>
      <c r="G10" s="2">
        <f>AVERAGE(E9:G9)</f>
        <v>5.1728811253456186E-2</v>
      </c>
      <c r="J10" s="2">
        <f>AVERAGE(H9:J9)</f>
        <v>6.7456487461849735E-2</v>
      </c>
      <c r="M10" s="2">
        <f>AVERAGE(K9:M9)</f>
        <v>6.7322850004941717E-2</v>
      </c>
    </row>
    <row r="12" spans="1:13" x14ac:dyDescent="0.35">
      <c r="B12" t="s">
        <v>254</v>
      </c>
      <c r="C12">
        <v>17747</v>
      </c>
      <c r="D12">
        <v>20072.134256202786</v>
      </c>
    </row>
    <row r="13" spans="1:13" x14ac:dyDescent="0.35">
      <c r="B13" t="s">
        <v>255</v>
      </c>
      <c r="C13">
        <v>18371</v>
      </c>
    </row>
    <row r="14" spans="1:13" x14ac:dyDescent="0.35">
      <c r="C14" s="80">
        <f>C13/C12-1</f>
        <v>3.5160872260100229E-2</v>
      </c>
    </row>
  </sheetData>
  <phoneticPr fontId="8" type="noConversion"/>
  <conditionalFormatting sqref="A3:A5">
    <cfRule type="cellIs" dxfId="1" priority="2" operator="lessThan">
      <formula>0</formula>
    </cfRule>
  </conditionalFormatting>
  <conditionalFormatting sqref="C3:C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5" x14ac:dyDescent="0.3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3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3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3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3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" x14ac:dyDescent="0.3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3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3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0" sqref="D60"/>
    </sheetView>
  </sheetViews>
  <sheetFormatPr defaultRowHeight="14.5" x14ac:dyDescent="0.3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35">
      <c r="B1" t="s">
        <v>188</v>
      </c>
      <c r="C1" t="s">
        <v>225</v>
      </c>
      <c r="D1" t="s">
        <v>189</v>
      </c>
      <c r="E1" t="s">
        <v>227</v>
      </c>
      <c r="F1" t="s">
        <v>226</v>
      </c>
    </row>
    <row r="2" spans="1:6" x14ac:dyDescent="0.35">
      <c r="A2" t="s">
        <v>10</v>
      </c>
      <c r="B2" s="17">
        <v>813</v>
      </c>
      <c r="C2" s="9"/>
      <c r="D2" s="17">
        <v>827.02163477401996</v>
      </c>
    </row>
    <row r="3" spans="1:6" x14ac:dyDescent="0.3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3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3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3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3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3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3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3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3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3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3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3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3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3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3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3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3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3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3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3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3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3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3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3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3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3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3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3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35">
      <c r="A31" t="s">
        <v>39</v>
      </c>
      <c r="B31" s="18">
        <v>1510.32</v>
      </c>
      <c r="C31" s="1">
        <f t="shared" si="1"/>
        <v>8.034334763948503E-2</v>
      </c>
      <c r="D31" s="18">
        <v>1513.69</v>
      </c>
      <c r="E31" s="1">
        <f t="shared" si="0"/>
        <v>-0.16260593821373104</v>
      </c>
      <c r="F31" s="1">
        <f t="shared" si="2"/>
        <v>6.0929610248565691E-3</v>
      </c>
    </row>
    <row r="32" spans="1:6" x14ac:dyDescent="0.35">
      <c r="A32" t="s">
        <v>40</v>
      </c>
      <c r="B32" s="18">
        <v>1536.5519999999999</v>
      </c>
      <c r="C32" s="1">
        <f t="shared" si="1"/>
        <v>4.4562882392929826E-2</v>
      </c>
      <c r="D32" s="18">
        <v>1529.212</v>
      </c>
      <c r="E32" s="1">
        <f t="shared" si="0"/>
        <v>4.1652887524289861E-2</v>
      </c>
      <c r="F32" s="1">
        <f t="shared" si="2"/>
        <v>-1.8042058100127267E-3</v>
      </c>
    </row>
    <row r="33" spans="1:6" x14ac:dyDescent="0.35">
      <c r="A33" t="s">
        <v>41</v>
      </c>
      <c r="B33" s="18">
        <v>1554.2650000000001</v>
      </c>
      <c r="C33" s="1">
        <f t="shared" si="1"/>
        <v>3.4796937416777807E-2</v>
      </c>
      <c r="D33" s="18">
        <v>1549.6569999999999</v>
      </c>
      <c r="E33" s="1">
        <f t="shared" si="0"/>
        <v>5.4560596838827857E-2</v>
      </c>
      <c r="F33" s="1">
        <f t="shared" si="2"/>
        <v>-7.5468749699797444E-3</v>
      </c>
    </row>
    <row r="34" spans="1:6" x14ac:dyDescent="0.35">
      <c r="A34" t="s">
        <v>42</v>
      </c>
      <c r="B34" s="18">
        <v>1562.7940000000001</v>
      </c>
      <c r="C34" s="1">
        <f t="shared" si="1"/>
        <v>6.6753583617747525E-2</v>
      </c>
      <c r="D34" s="18">
        <v>1571.279</v>
      </c>
      <c r="E34" s="1">
        <f t="shared" si="0"/>
        <v>5.6990041214948661E-2</v>
      </c>
      <c r="F34" s="1">
        <f t="shared" si="2"/>
        <v>-7.0009485849273911E-3</v>
      </c>
    </row>
    <row r="35" spans="1:6" x14ac:dyDescent="0.35">
      <c r="A35" t="s">
        <v>43</v>
      </c>
      <c r="B35" s="18">
        <v>1600.4590000000001</v>
      </c>
      <c r="C35" s="1">
        <f t="shared" si="1"/>
        <v>5.9682054134223339E-2</v>
      </c>
      <c r="D35" s="18">
        <v>1604.297</v>
      </c>
      <c r="E35" s="1">
        <f t="shared" si="0"/>
        <v>8.6740520461116688E-2</v>
      </c>
      <c r="F35" s="1">
        <f t="shared" si="2"/>
        <v>5.9858359373451631E-2</v>
      </c>
    </row>
    <row r="36" spans="1:6" x14ac:dyDescent="0.35">
      <c r="A36" t="s">
        <v>44</v>
      </c>
      <c r="B36" s="18">
        <v>1648.1980000000001</v>
      </c>
      <c r="C36" s="1">
        <f t="shared" si="1"/>
        <v>7.2660085698369015E-2</v>
      </c>
      <c r="D36" s="18">
        <v>1640.4480000000001</v>
      </c>
      <c r="E36" s="1">
        <f t="shared" si="0"/>
        <v>9.3228104770318065E-2</v>
      </c>
      <c r="F36" s="1">
        <f t="shared" si="2"/>
        <v>7.2740731827895644E-2</v>
      </c>
    </row>
    <row r="37" spans="1:6" ht="15" thickBot="1" x14ac:dyDescent="0.4">
      <c r="A37" t="s">
        <v>45</v>
      </c>
      <c r="B37" s="18">
        <v>1666.9860000000001</v>
      </c>
      <c r="C37" s="1">
        <f t="shared" si="1"/>
        <v>7.2523668743746939E-2</v>
      </c>
      <c r="D37" s="18">
        <v>1662.08</v>
      </c>
      <c r="E37" s="1">
        <f t="shared" si="0"/>
        <v>5.379909411363859E-2</v>
      </c>
      <c r="F37" s="1">
        <f t="shared" si="2"/>
        <v>7.2547021695768876E-2</v>
      </c>
    </row>
    <row r="38" spans="1:6" x14ac:dyDescent="0.35">
      <c r="A38" t="s">
        <v>0</v>
      </c>
      <c r="B38" s="39">
        <v>1678.537</v>
      </c>
      <c r="C38" s="1">
        <f>B38/B34-1</f>
        <v>7.4061584572246764E-2</v>
      </c>
      <c r="D38" s="18">
        <v>1686.7819999999999</v>
      </c>
      <c r="E38" s="1">
        <f t="shared" si="0"/>
        <v>6.0786874062708662E-2</v>
      </c>
      <c r="F38" s="1">
        <f t="shared" si="2"/>
        <v>7.3508905802215807E-2</v>
      </c>
    </row>
    <row r="39" spans="1:6" x14ac:dyDescent="0.35">
      <c r="A39" t="s">
        <v>1</v>
      </c>
      <c r="B39" s="43">
        <v>1717.806</v>
      </c>
      <c r="C39" s="1">
        <f t="shared" ref="C39:C82" si="3">B39/B35-1</f>
        <v>7.3320841083714061E-2</v>
      </c>
      <c r="D39" s="18">
        <v>1722.768</v>
      </c>
      <c r="E39" s="1">
        <f t="shared" si="0"/>
        <v>8.8106371400052952E-2</v>
      </c>
      <c r="F39" s="1">
        <f t="shared" si="2"/>
        <v>7.3846052196070877E-2</v>
      </c>
    </row>
    <row r="40" spans="1:6" x14ac:dyDescent="0.35">
      <c r="A40" t="s">
        <v>2</v>
      </c>
      <c r="B40" s="43">
        <v>1757.771</v>
      </c>
      <c r="C40" s="1">
        <f t="shared" si="3"/>
        <v>6.6480483534138379E-2</v>
      </c>
      <c r="D40" s="18">
        <v>1749.8520000000001</v>
      </c>
      <c r="E40" s="1">
        <f t="shared" si="0"/>
        <v>6.4383388203045788E-2</v>
      </c>
      <c r="F40" s="1">
        <f t="shared" si="2"/>
        <v>6.6691537921348409E-2</v>
      </c>
    </row>
    <row r="41" spans="1:6" x14ac:dyDescent="0.35">
      <c r="A41" t="s">
        <v>3</v>
      </c>
      <c r="B41" s="43">
        <v>1791.9880000000001</v>
      </c>
      <c r="C41" s="1">
        <f t="shared" si="3"/>
        <v>7.4986832522888625E-2</v>
      </c>
      <c r="D41" s="18">
        <v>1786.471</v>
      </c>
      <c r="E41" s="1">
        <f t="shared" si="0"/>
        <v>8.6372115103175773E-2</v>
      </c>
      <c r="F41" s="1">
        <f t="shared" si="2"/>
        <v>7.4840561224489788E-2</v>
      </c>
    </row>
    <row r="42" spans="1:6" x14ac:dyDescent="0.35">
      <c r="A42" t="s">
        <v>4</v>
      </c>
      <c r="B42" s="43">
        <v>1809.7539999999999</v>
      </c>
      <c r="C42" s="1">
        <f t="shared" si="3"/>
        <v>7.8173433174246298E-2</v>
      </c>
      <c r="D42" s="18">
        <v>1817.325</v>
      </c>
      <c r="E42" s="1">
        <f t="shared" si="0"/>
        <v>7.0894089009159167E-2</v>
      </c>
      <c r="F42" s="1">
        <f t="shared" si="2"/>
        <v>7.7391743568522964E-2</v>
      </c>
    </row>
    <row r="43" spans="1:6" x14ac:dyDescent="0.35">
      <c r="A43" t="s">
        <v>5</v>
      </c>
      <c r="B43" s="43">
        <v>1830.06</v>
      </c>
      <c r="C43" s="1">
        <f t="shared" si="3"/>
        <v>6.5347309300351597E-2</v>
      </c>
      <c r="D43" s="18">
        <v>1836.365</v>
      </c>
      <c r="E43" s="1">
        <f t="shared" si="0"/>
        <v>4.2570958415992788E-2</v>
      </c>
      <c r="F43" s="1">
        <f t="shared" si="2"/>
        <v>6.5938652215504323E-2</v>
      </c>
    </row>
    <row r="44" spans="1:6" x14ac:dyDescent="0.35">
      <c r="A44" t="s">
        <v>6</v>
      </c>
      <c r="B44" s="43">
        <v>1871.701</v>
      </c>
      <c r="C44" s="1">
        <f t="shared" si="3"/>
        <v>6.4815041322220157E-2</v>
      </c>
      <c r="D44" s="18">
        <v>1864.606</v>
      </c>
      <c r="E44" s="1">
        <f t="shared" si="0"/>
        <v>6.2948644312764479E-2</v>
      </c>
      <c r="F44" s="1">
        <f t="shared" si="2"/>
        <v>6.5579260417452323E-2</v>
      </c>
    </row>
    <row r="45" spans="1:6" x14ac:dyDescent="0.35">
      <c r="A45" t="s">
        <v>7</v>
      </c>
      <c r="B45" s="43">
        <v>1888.271</v>
      </c>
      <c r="C45" s="1">
        <f t="shared" si="3"/>
        <v>5.37297124757532E-2</v>
      </c>
      <c r="D45" s="18">
        <v>1880.952</v>
      </c>
      <c r="E45" s="1">
        <f t="shared" si="0"/>
        <v>3.5529659070775876E-2</v>
      </c>
      <c r="F45" s="1">
        <f t="shared" si="2"/>
        <v>5.2886948626649888E-2</v>
      </c>
    </row>
    <row r="46" spans="1:6" x14ac:dyDescent="0.35">
      <c r="A46" t="s">
        <v>9</v>
      </c>
      <c r="B46" s="43">
        <v>1904.414</v>
      </c>
      <c r="C46" s="1">
        <f t="shared" si="3"/>
        <v>5.2305451459148555E-2</v>
      </c>
      <c r="D46" s="18">
        <v>1911.0050000000001</v>
      </c>
      <c r="E46" s="1">
        <f t="shared" si="0"/>
        <v>6.5458262603036221E-2</v>
      </c>
      <c r="F46" s="1">
        <f t="shared" si="2"/>
        <v>5.1548292132667539E-2</v>
      </c>
    </row>
    <row r="47" spans="1:6" x14ac:dyDescent="0.35">
      <c r="A47" t="s">
        <v>46</v>
      </c>
      <c r="B47" s="43">
        <v>1941.154</v>
      </c>
      <c r="C47" s="1">
        <f t="shared" si="3"/>
        <v>6.0705113493546792E-2</v>
      </c>
      <c r="D47" s="18">
        <v>1949.81</v>
      </c>
      <c r="E47" s="1">
        <f t="shared" si="0"/>
        <v>8.3731957737041451E-2</v>
      </c>
      <c r="F47" s="1">
        <f t="shared" si="2"/>
        <v>6.1776934324058619E-2</v>
      </c>
    </row>
    <row r="48" spans="1:6" x14ac:dyDescent="0.35">
      <c r="A48" t="s">
        <v>47</v>
      </c>
      <c r="B48" s="49">
        <v>1989.741</v>
      </c>
      <c r="C48" s="1">
        <f t="shared" si="3"/>
        <v>6.3065628537891438E-2</v>
      </c>
      <c r="D48" s="18">
        <v>1983.742</v>
      </c>
      <c r="E48" s="1">
        <f t="shared" si="0"/>
        <v>7.1449187118416191E-2</v>
      </c>
      <c r="F48" s="1">
        <f t="shared" si="2"/>
        <v>6.3893390882577838E-2</v>
      </c>
    </row>
    <row r="49" spans="1:6" x14ac:dyDescent="0.35">
      <c r="A49" t="s">
        <v>48</v>
      </c>
      <c r="B49" s="49">
        <v>2023.2170000000001</v>
      </c>
      <c r="C49" s="1">
        <f t="shared" si="3"/>
        <v>7.1465377586162226E-2</v>
      </c>
      <c r="D49" s="18">
        <v>2012.2460000000001</v>
      </c>
      <c r="E49" s="1">
        <f t="shared" si="0"/>
        <v>5.8725900308011614E-2</v>
      </c>
      <c r="F49" s="1">
        <f t="shared" si="2"/>
        <v>6.9801887554812758E-2</v>
      </c>
    </row>
    <row r="50" spans="1:6" x14ac:dyDescent="0.35">
      <c r="A50" t="s">
        <v>49</v>
      </c>
      <c r="B50" s="49">
        <v>2050.1880000000001</v>
      </c>
      <c r="C50" s="1">
        <f t="shared" si="3"/>
        <v>7.6545331004708173E-2</v>
      </c>
      <c r="D50" s="18">
        <v>2057.6379999999999</v>
      </c>
      <c r="E50" s="1">
        <f t="shared" si="0"/>
        <v>9.3330833589954754E-2</v>
      </c>
      <c r="F50" s="1">
        <f t="shared" si="2"/>
        <v>7.673083011295101E-2</v>
      </c>
    </row>
    <row r="51" spans="1:6" x14ac:dyDescent="0.35">
      <c r="A51" t="s">
        <v>50</v>
      </c>
      <c r="B51" s="49">
        <v>2064.259</v>
      </c>
      <c r="C51" s="1">
        <f t="shared" si="3"/>
        <v>6.3418461389462166E-2</v>
      </c>
      <c r="D51" s="18">
        <v>2074.3429999999998</v>
      </c>
      <c r="E51" s="1">
        <f t="shared" si="0"/>
        <v>3.2871736207965796E-2</v>
      </c>
      <c r="F51" s="1">
        <f t="shared" si="2"/>
        <v>6.3869300085649394E-2</v>
      </c>
    </row>
    <row r="52" spans="1:6" x14ac:dyDescent="0.35">
      <c r="A52" t="s">
        <v>68</v>
      </c>
      <c r="B52" s="49">
        <v>2109.7080000000001</v>
      </c>
      <c r="C52" s="1">
        <f t="shared" si="3"/>
        <v>6.0292771772808562E-2</v>
      </c>
      <c r="D52" s="18">
        <v>2105.7199999999998</v>
      </c>
      <c r="E52" s="1">
        <f t="shared" si="0"/>
        <v>6.1891654601485824E-2</v>
      </c>
      <c r="F52" s="1">
        <f t="shared" si="2"/>
        <v>6.1488842803146593E-2</v>
      </c>
    </row>
    <row r="53" spans="1:6" x14ac:dyDescent="0.35">
      <c r="A53" t="s">
        <v>91</v>
      </c>
      <c r="B53" s="49">
        <v>2156.761</v>
      </c>
      <c r="C53" s="1">
        <f t="shared" si="3"/>
        <v>6.6005771995786944E-2</v>
      </c>
      <c r="D53" s="18">
        <v>2140.759</v>
      </c>
      <c r="E53" s="1">
        <f t="shared" si="0"/>
        <v>6.823948316253059E-2</v>
      </c>
      <c r="F53" s="1">
        <f t="shared" si="2"/>
        <v>6.3865451838393428E-2</v>
      </c>
    </row>
    <row r="54" spans="1:6" x14ac:dyDescent="0.35">
      <c r="A54" t="s">
        <v>123</v>
      </c>
      <c r="B54" s="10">
        <v>2184.971</v>
      </c>
      <c r="C54" s="1">
        <f t="shared" si="3"/>
        <v>6.5741775876163588E-2</v>
      </c>
      <c r="D54" s="18">
        <v>2194.2489999999998</v>
      </c>
      <c r="E54" s="1">
        <f t="shared" si="0"/>
        <v>0.10375458926959635</v>
      </c>
      <c r="F54" s="1">
        <f t="shared" si="2"/>
        <v>6.6392144779596762E-2</v>
      </c>
    </row>
    <row r="55" spans="1:6" x14ac:dyDescent="0.35">
      <c r="A55" t="s">
        <v>126</v>
      </c>
      <c r="B55" s="10">
        <v>2229.623</v>
      </c>
      <c r="C55" s="1">
        <f t="shared" si="3"/>
        <v>8.0108164721578001E-2</v>
      </c>
      <c r="D55" s="18">
        <v>2241.6329999999998</v>
      </c>
      <c r="E55" s="1">
        <f t="shared" si="0"/>
        <v>8.9216995625491569E-2</v>
      </c>
      <c r="F55" s="1">
        <f t="shared" si="2"/>
        <v>8.0647221795045354E-2</v>
      </c>
    </row>
    <row r="56" spans="1:6" x14ac:dyDescent="0.35">
      <c r="A56" t="s">
        <v>128</v>
      </c>
      <c r="B56" s="10">
        <v>2275.3919999999998</v>
      </c>
      <c r="C56" s="1">
        <f t="shared" si="3"/>
        <v>7.85340909737271E-2</v>
      </c>
      <c r="D56" s="18">
        <v>2272.5500000000002</v>
      </c>
      <c r="E56" s="1">
        <f t="shared" si="0"/>
        <v>5.6320585147979996E-2</v>
      </c>
      <c r="F56" s="1">
        <f t="shared" si="2"/>
        <v>7.9227057728473049E-2</v>
      </c>
    </row>
    <row r="57" spans="1:6" x14ac:dyDescent="0.35">
      <c r="A57" t="s">
        <v>129</v>
      </c>
      <c r="B57" s="10">
        <v>2315.2629999999999</v>
      </c>
      <c r="C57" s="1">
        <f t="shared" si="3"/>
        <v>7.3490757668559503E-2</v>
      </c>
      <c r="D57" s="18">
        <v>2293.84</v>
      </c>
      <c r="E57" s="1">
        <f t="shared" si="0"/>
        <v>3.8003213215413334E-2</v>
      </c>
      <c r="F57" s="1">
        <f t="shared" si="2"/>
        <v>7.1507815685932119E-2</v>
      </c>
    </row>
    <row r="58" spans="1:6" x14ac:dyDescent="0.35">
      <c r="A58" t="s">
        <v>130</v>
      </c>
      <c r="B58" s="10">
        <v>2299.942</v>
      </c>
      <c r="C58" s="1">
        <f t="shared" si="3"/>
        <v>5.2619005011965925E-2</v>
      </c>
      <c r="D58" s="18">
        <v>2312.2829999999999</v>
      </c>
      <c r="E58" s="1">
        <f t="shared" si="0"/>
        <v>3.255087290856995E-2</v>
      </c>
      <c r="F58" s="1">
        <f t="shared" si="2"/>
        <v>5.3792436501053587E-2</v>
      </c>
    </row>
    <row r="59" spans="1:6" x14ac:dyDescent="0.35">
      <c r="A59" t="s">
        <v>147</v>
      </c>
      <c r="B59" s="50">
        <v>2230.8330000000001</v>
      </c>
      <c r="C59" s="1">
        <f t="shared" si="3"/>
        <v>5.4269264355455427E-4</v>
      </c>
      <c r="D59" s="18">
        <v>2243.1210000000001</v>
      </c>
      <c r="E59" s="1">
        <f t="shared" si="0"/>
        <v>-0.11438113324236177</v>
      </c>
      <c r="F59" s="1">
        <f t="shared" si="2"/>
        <v>6.6380179092662139E-4</v>
      </c>
    </row>
    <row r="60" spans="1:6" x14ac:dyDescent="0.35">
      <c r="A60" t="s">
        <v>148</v>
      </c>
      <c r="B60" s="43">
        <v>2332.0329999999999</v>
      </c>
      <c r="C60" s="1">
        <f t="shared" si="3"/>
        <v>2.4892853626979461E-2</v>
      </c>
      <c r="D60" s="18">
        <v>2329.7710000000002</v>
      </c>
      <c r="E60" s="1">
        <f t="shared" si="0"/>
        <v>0.16370295003489699</v>
      </c>
      <c r="F60" s="1">
        <f t="shared" si="2"/>
        <v>2.5179203977910181E-2</v>
      </c>
    </row>
    <row r="61" spans="1:6" x14ac:dyDescent="0.35">
      <c r="A61" t="s">
        <v>153</v>
      </c>
      <c r="B61" s="43">
        <v>2422.1770000000001</v>
      </c>
      <c r="C61" s="1">
        <f t="shared" si="3"/>
        <v>4.6177907218316161E-2</v>
      </c>
      <c r="D61" s="18">
        <v>2396.5259999999998</v>
      </c>
      <c r="E61" s="1">
        <f t="shared" si="0"/>
        <v>0.11963286998248801</v>
      </c>
      <c r="F61" s="1">
        <f t="shared" si="2"/>
        <v>4.4765981934223653E-2</v>
      </c>
    </row>
    <row r="62" spans="1:6" x14ac:dyDescent="0.35">
      <c r="A62" t="s">
        <v>154</v>
      </c>
      <c r="B62" s="43">
        <v>2423.636</v>
      </c>
      <c r="C62" s="1">
        <f t="shared" si="3"/>
        <v>5.3781356225504728E-2</v>
      </c>
      <c r="D62" s="18">
        <v>2438.9830000000002</v>
      </c>
      <c r="E62" s="1">
        <f t="shared" si="0"/>
        <v>7.2769735364619947E-2</v>
      </c>
      <c r="F62" s="1">
        <f t="shared" si="2"/>
        <v>5.4794330970733274E-2</v>
      </c>
    </row>
    <row r="63" spans="1:6" x14ac:dyDescent="0.35">
      <c r="A63" t="s">
        <v>155</v>
      </c>
      <c r="B63" s="43">
        <v>2504.1619999999998</v>
      </c>
      <c r="C63" s="1">
        <f t="shared" si="3"/>
        <v>0.1225232906273126</v>
      </c>
      <c r="D63" s="18">
        <v>2518.998</v>
      </c>
      <c r="E63" s="1">
        <f t="shared" si="0"/>
        <v>0.13782690214676463</v>
      </c>
      <c r="F63" s="1">
        <f t="shared" si="2"/>
        <v>0.12298801535895754</v>
      </c>
    </row>
    <row r="64" spans="1:6" x14ac:dyDescent="0.35">
      <c r="A64" t="s">
        <v>156</v>
      </c>
      <c r="B64" s="43">
        <v>2544.8890000000001</v>
      </c>
      <c r="C64" s="1">
        <f t="shared" si="3"/>
        <v>9.1274866178995051E-2</v>
      </c>
      <c r="D64" s="18">
        <v>2541.011</v>
      </c>
      <c r="E64" s="1">
        <f t="shared" si="0"/>
        <v>3.5416042849080398E-2</v>
      </c>
      <c r="F64" s="1">
        <f t="shared" si="2"/>
        <v>9.0669855535157717E-2</v>
      </c>
    </row>
    <row r="65" spans="1:6" x14ac:dyDescent="0.35">
      <c r="A65" t="s">
        <v>157</v>
      </c>
      <c r="B65" s="43">
        <v>2623.4850000000001</v>
      </c>
      <c r="C65" s="1">
        <f t="shared" si="3"/>
        <v>8.3110358986977495E-2</v>
      </c>
      <c r="D65" s="18">
        <v>2594.1959999999999</v>
      </c>
      <c r="E65" s="1">
        <f t="shared" si="0"/>
        <v>8.6388002879440595E-2</v>
      </c>
      <c r="F65" s="1">
        <f t="shared" si="2"/>
        <v>8.2481892539450818E-2</v>
      </c>
    </row>
    <row r="66" spans="1:6" x14ac:dyDescent="0.35">
      <c r="A66" t="s">
        <v>158</v>
      </c>
      <c r="B66" s="43">
        <v>2632.8139999999999</v>
      </c>
      <c r="C66" s="1">
        <f t="shared" si="3"/>
        <v>8.6307514824833342E-2</v>
      </c>
      <c r="D66" s="18">
        <v>2652.3290000000002</v>
      </c>
      <c r="E66" s="1">
        <f t="shared" si="0"/>
        <v>9.2693686501027051E-2</v>
      </c>
      <c r="F66" s="1">
        <f t="shared" si="2"/>
        <v>8.7473344422654753E-2</v>
      </c>
    </row>
    <row r="67" spans="1:6" x14ac:dyDescent="0.35">
      <c r="A67" t="s">
        <v>159</v>
      </c>
      <c r="B67" s="43">
        <v>2689.3829999999998</v>
      </c>
      <c r="C67" s="1">
        <f t="shared" si="3"/>
        <v>7.3965262630772299E-2</v>
      </c>
      <c r="D67" s="18">
        <v>2705.011</v>
      </c>
      <c r="E67" s="1">
        <f t="shared" si="0"/>
        <v>8.1848797963241626E-2</v>
      </c>
      <c r="F67" s="1">
        <f t="shared" si="2"/>
        <v>7.3844044338264636E-2</v>
      </c>
    </row>
    <row r="68" spans="1:6" x14ac:dyDescent="0.35">
      <c r="A68" t="s">
        <v>160</v>
      </c>
      <c r="B68" s="43">
        <v>2770.4749999999999</v>
      </c>
      <c r="C68" s="1">
        <f t="shared" si="3"/>
        <v>8.8642765951677971E-2</v>
      </c>
      <c r="D68" s="18">
        <v>2764.2</v>
      </c>
      <c r="E68" s="1">
        <f t="shared" ref="E68:E79" si="4">(D68/D67)^4-1</f>
        <v>9.0439835238432353E-2</v>
      </c>
      <c r="F68" s="1">
        <f t="shared" si="2"/>
        <v>8.7834724052749058E-2</v>
      </c>
    </row>
    <row r="69" spans="1:6" x14ac:dyDescent="0.35">
      <c r="A69" t="s">
        <v>161</v>
      </c>
      <c r="B69" s="43">
        <v>2838.5790000000002</v>
      </c>
      <c r="C69" s="1">
        <f t="shared" si="3"/>
        <v>8.1987890153745857E-2</v>
      </c>
      <c r="D69" s="18">
        <v>2807.5549999999998</v>
      </c>
      <c r="E69" s="1">
        <f t="shared" si="4"/>
        <v>6.4229371638494515E-2</v>
      </c>
      <c r="F69" s="1">
        <f t="shared" si="2"/>
        <v>8.2244749432965003E-2</v>
      </c>
    </row>
    <row r="70" spans="1:6" x14ac:dyDescent="0.35">
      <c r="A70" t="s">
        <v>162</v>
      </c>
      <c r="B70" s="43">
        <v>2837.3710000000001</v>
      </c>
      <c r="C70" s="1">
        <f t="shared" si="3"/>
        <v>7.7695196090570962E-2</v>
      </c>
      <c r="D70" s="18">
        <v>2859.6880000000001</v>
      </c>
      <c r="E70" s="1">
        <f t="shared" si="4"/>
        <v>7.636984048114126E-2</v>
      </c>
      <c r="F70" s="1">
        <f t="shared" si="2"/>
        <v>7.8179969377856207E-2</v>
      </c>
    </row>
    <row r="71" spans="1:6" x14ac:dyDescent="0.35">
      <c r="A71" t="s">
        <v>163</v>
      </c>
      <c r="B71" s="83">
        <v>2875.0479999999998</v>
      </c>
      <c r="C71" s="1">
        <f t="shared" si="3"/>
        <v>6.9036280812364792E-2</v>
      </c>
      <c r="D71" s="18">
        <v>2892.0749999999998</v>
      </c>
      <c r="E71" s="1">
        <f t="shared" si="4"/>
        <v>4.6076855320685395E-2</v>
      </c>
      <c r="F71" s="1">
        <f t="shared" ref="F71:F76" si="5">D71/D67-1</f>
        <v>6.9154617116159445E-2</v>
      </c>
    </row>
    <row r="72" spans="1:6" x14ac:dyDescent="0.35">
      <c r="A72" t="s">
        <v>164</v>
      </c>
      <c r="B72" s="83">
        <v>2962.7089999999998</v>
      </c>
      <c r="C72" s="1">
        <f t="shared" si="3"/>
        <v>6.938665752262696E-2</v>
      </c>
      <c r="D72" s="18">
        <v>2953.154</v>
      </c>
      <c r="E72" s="1">
        <f t="shared" si="4"/>
        <v>8.7191816561886126E-2</v>
      </c>
      <c r="F72" s="1">
        <f t="shared" si="5"/>
        <v>6.8357571811012319E-2</v>
      </c>
    </row>
    <row r="73" spans="1:6" ht="15" thickBot="1" x14ac:dyDescent="0.4">
      <c r="A73" t="s">
        <v>165</v>
      </c>
      <c r="B73" s="91">
        <v>3031.0140000000001</v>
      </c>
      <c r="C73" s="1">
        <f t="shared" si="3"/>
        <v>6.779272304910311E-2</v>
      </c>
      <c r="D73" s="18">
        <v>2999.7779999999998</v>
      </c>
      <c r="E73" s="1">
        <f t="shared" si="4"/>
        <v>6.466280785841505E-2</v>
      </c>
      <c r="F73" s="1">
        <f t="shared" si="5"/>
        <v>6.8466334586499533E-2</v>
      </c>
    </row>
    <row r="74" spans="1:6" x14ac:dyDescent="0.35">
      <c r="A74" t="s">
        <v>167</v>
      </c>
      <c r="B74" s="95">
        <v>3025.3229999999999</v>
      </c>
      <c r="C74" s="1">
        <f t="shared" si="3"/>
        <v>6.624160182084049E-2</v>
      </c>
      <c r="D74" s="18">
        <v>3049.6559999999999</v>
      </c>
      <c r="E74" s="1">
        <f t="shared" si="4"/>
        <v>6.818617421577966E-2</v>
      </c>
      <c r="F74" s="1">
        <f t="shared" si="5"/>
        <v>6.6429624490503825E-2</v>
      </c>
    </row>
    <row r="75" spans="1:6" x14ac:dyDescent="0.35">
      <c r="A75" t="s">
        <v>170</v>
      </c>
      <c r="B75" s="101">
        <v>3090.0880000000002</v>
      </c>
      <c r="C75" s="1">
        <f t="shared" si="3"/>
        <v>7.4795272983268601E-2</v>
      </c>
      <c r="D75" s="18">
        <v>3108.4389999999999</v>
      </c>
      <c r="E75" s="1">
        <f t="shared" si="4"/>
        <v>7.9359159507411015E-2</v>
      </c>
      <c r="F75" s="1">
        <f t="shared" si="5"/>
        <v>7.4812720970237612E-2</v>
      </c>
    </row>
    <row r="76" spans="1:6" x14ac:dyDescent="0.35">
      <c r="A76" t="s">
        <v>191</v>
      </c>
      <c r="B76" s="104">
        <v>3175.9859999999999</v>
      </c>
      <c r="C76" s="1">
        <f t="shared" si="3"/>
        <v>7.1987157699254345E-2</v>
      </c>
      <c r="D76" s="101">
        <v>3163.6149999999998</v>
      </c>
      <c r="E76" s="1">
        <f t="shared" si="4"/>
        <v>7.2914482095582267E-2</v>
      </c>
      <c r="F76" s="1">
        <f t="shared" si="5"/>
        <v>7.1266517086477688E-2</v>
      </c>
    </row>
    <row r="77" spans="1:6" x14ac:dyDescent="0.35">
      <c r="A77" t="s">
        <v>239</v>
      </c>
      <c r="B77" s="112">
        <v>3242.14</v>
      </c>
      <c r="C77" s="1">
        <f t="shared" si="3"/>
        <v>6.9655237488180477E-2</v>
      </c>
      <c r="D77" s="101">
        <v>3210.2579999999998</v>
      </c>
      <c r="E77" s="1">
        <f t="shared" si="4"/>
        <v>6.0291411268877493E-2</v>
      </c>
      <c r="F77" s="1">
        <f>D77/D73-1</f>
        <v>7.0165192224224571E-2</v>
      </c>
    </row>
    <row r="78" spans="1:6" x14ac:dyDescent="0.35">
      <c r="A78" t="s">
        <v>240</v>
      </c>
      <c r="B78" s="101">
        <v>3238.4180000000001</v>
      </c>
      <c r="C78" s="1">
        <f t="shared" si="3"/>
        <v>7.0437107046090741E-2</v>
      </c>
      <c r="D78" s="101">
        <v>3264.415</v>
      </c>
      <c r="E78" s="1">
        <f t="shared" si="4"/>
        <v>6.9206798264478397E-2</v>
      </c>
      <c r="F78" s="1">
        <f>D78/D74-1</f>
        <v>7.0420729419973904E-2</v>
      </c>
    </row>
    <row r="79" spans="1:6" x14ac:dyDescent="0.35">
      <c r="A79" t="s">
        <v>247</v>
      </c>
      <c r="B79" s="101">
        <v>3322.5610000000001</v>
      </c>
      <c r="C79" s="1">
        <f>B79/B75-1</f>
        <v>7.5231838057686407E-2</v>
      </c>
      <c r="D79" s="101">
        <v>3343.1089999999999</v>
      </c>
      <c r="E79" s="1">
        <f t="shared" si="4"/>
        <v>9.9969613016666736E-2</v>
      </c>
      <c r="F79" s="1">
        <f>D79/D75-1</f>
        <v>7.5494484530659989E-2</v>
      </c>
    </row>
    <row r="80" spans="1:6" x14ac:dyDescent="0.35">
      <c r="A80" t="s">
        <v>248</v>
      </c>
      <c r="B80" s="101">
        <v>3418.7139999999999</v>
      </c>
      <c r="C80" s="1">
        <f t="shared" si="3"/>
        <v>7.6426029585772826E-2</v>
      </c>
      <c r="D80" s="101">
        <v>3403.7829999999999</v>
      </c>
      <c r="E80" s="1">
        <f t="shared" ref="E80" si="6">(D80/D79)^4-1</f>
        <v>7.4596230177380596E-2</v>
      </c>
      <c r="F80" s="1">
        <f>D80/D76-1</f>
        <v>7.5915685062815763E-2</v>
      </c>
    </row>
    <row r="81" spans="1:6" x14ac:dyDescent="0.35">
      <c r="A81" t="s">
        <v>262</v>
      </c>
      <c r="B81" s="101">
        <v>3520.0929999999998</v>
      </c>
      <c r="C81" s="1">
        <f t="shared" si="3"/>
        <v>8.5731337943456998E-2</v>
      </c>
      <c r="D81" s="101">
        <v>3485.9789999999998</v>
      </c>
      <c r="E81" s="1">
        <f t="shared" ref="E81:E82" si="7">(D81/D80)^4-1</f>
        <v>0.10014924881489473</v>
      </c>
      <c r="F81" s="1">
        <f t="shared" ref="F81:F82" si="8">D81/D77-1</f>
        <v>8.5887489416738516E-2</v>
      </c>
    </row>
    <row r="82" spans="1:6" x14ac:dyDescent="0.35">
      <c r="A82" t="s">
        <v>263</v>
      </c>
      <c r="B82" s="101">
        <v>3552.7809999999999</v>
      </c>
      <c r="C82" s="1">
        <f t="shared" si="3"/>
        <v>9.7073015280918051E-2</v>
      </c>
      <c r="D82" s="101">
        <v>3582.1179999999999</v>
      </c>
      <c r="E82" s="1">
        <f t="shared" si="7"/>
        <v>0.11496307794310834</v>
      </c>
      <c r="F82" s="1">
        <f t="shared" si="8"/>
        <v>9.7323103833305558E-2</v>
      </c>
    </row>
    <row r="89" spans="1:6" x14ac:dyDescent="0.35">
      <c r="D89" t="s">
        <v>154</v>
      </c>
      <c r="E89" s="1">
        <v>4.3553292199839611E-2</v>
      </c>
    </row>
    <row r="90" spans="1:6" x14ac:dyDescent="0.35">
      <c r="D90" t="s">
        <v>155</v>
      </c>
      <c r="E90" s="1">
        <v>0.15031059354530751</v>
      </c>
    </row>
    <row r="91" spans="1:6" x14ac:dyDescent="0.35">
      <c r="D91" t="s">
        <v>156</v>
      </c>
      <c r="E91" s="1">
        <v>8.9877467227611252E-2</v>
      </c>
    </row>
    <row r="92" spans="1:6" x14ac:dyDescent="0.35">
      <c r="D92" t="s">
        <v>157</v>
      </c>
      <c r="E92" s="1">
        <v>8.8985930236873623E-2</v>
      </c>
    </row>
    <row r="93" spans="1:6" x14ac:dyDescent="0.35">
      <c r="D93" t="s">
        <v>158</v>
      </c>
      <c r="E93" s="1">
        <v>0.1037052771335476</v>
      </c>
    </row>
    <row r="94" spans="1:6" x14ac:dyDescent="0.35">
      <c r="D94" t="s">
        <v>159</v>
      </c>
      <c r="E94" s="1">
        <v>8.6200867733137843E-2</v>
      </c>
    </row>
    <row r="95" spans="1:6" x14ac:dyDescent="0.35">
      <c r="D95" t="s">
        <v>160</v>
      </c>
      <c r="E95" s="1">
        <v>0.10674846823982986</v>
      </c>
    </row>
    <row r="96" spans="1:6" x14ac:dyDescent="0.35">
      <c r="D96" t="s">
        <v>161</v>
      </c>
      <c r="E96" s="1">
        <v>8.4905039540090765E-2</v>
      </c>
    </row>
    <row r="97" spans="4:5" x14ac:dyDescent="0.35">
      <c r="D97" t="s">
        <v>162</v>
      </c>
      <c r="E97" s="1">
        <v>8.334847844261084E-2</v>
      </c>
    </row>
    <row r="98" spans="4:5" x14ac:dyDescent="0.35">
      <c r="D98" t="s">
        <v>163</v>
      </c>
      <c r="E98" s="1">
        <v>5.8390191925331791E-2</v>
      </c>
    </row>
    <row r="99" spans="4:5" x14ac:dyDescent="0.35">
      <c r="D99" t="s">
        <v>164</v>
      </c>
      <c r="E99" s="1">
        <v>7.0190009451209567E-2</v>
      </c>
    </row>
    <row r="100" spans="4:5" x14ac:dyDescent="0.35">
      <c r="D100" t="s">
        <v>165</v>
      </c>
      <c r="E100" s="1">
        <v>7.3636211990026013E-2</v>
      </c>
    </row>
    <row r="101" spans="4:5" x14ac:dyDescent="0.35">
      <c r="D101" t="s">
        <v>167</v>
      </c>
      <c r="E101" s="1">
        <v>6.5682716775356642E-2</v>
      </c>
    </row>
    <row r="102" spans="4:5" x14ac:dyDescent="0.35">
      <c r="D102" t="s">
        <v>170</v>
      </c>
      <c r="E102" s="1">
        <v>8.0653961265662266E-2</v>
      </c>
    </row>
    <row r="103" spans="4:5" x14ac:dyDescent="0.35">
      <c r="D103" t="s">
        <v>191</v>
      </c>
      <c r="E103" s="1">
        <v>6.5381564940339087E-2</v>
      </c>
    </row>
    <row r="104" spans="4:5" x14ac:dyDescent="0.35">
      <c r="D104" t="s">
        <v>239</v>
      </c>
      <c r="E104" s="1">
        <v>7.7570038455782475E-2</v>
      </c>
    </row>
    <row r="105" spans="4:5" x14ac:dyDescent="0.35">
      <c r="D105" t="s">
        <v>240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5" x14ac:dyDescent="0.3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35">
      <c r="A5" t="s">
        <v>192</v>
      </c>
      <c r="B5" t="s">
        <v>193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</row>
    <row r="6" spans="1:11" x14ac:dyDescent="0.3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35">
      <c r="A7" t="s">
        <v>220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220</v>
      </c>
    </row>
    <row r="8" spans="1:11" x14ac:dyDescent="0.3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3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35">
      <c r="A10" t="s">
        <v>218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218</v>
      </c>
    </row>
    <row r="11" spans="1:11" x14ac:dyDescent="0.35">
      <c r="A11" t="s">
        <v>221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221</v>
      </c>
    </row>
    <row r="12" spans="1:11" x14ac:dyDescent="0.35">
      <c r="A12" t="s">
        <v>216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216</v>
      </c>
    </row>
    <row r="13" spans="1:11" x14ac:dyDescent="0.35">
      <c r="A13" t="s">
        <v>222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222</v>
      </c>
    </row>
    <row r="14" spans="1:11" x14ac:dyDescent="0.35">
      <c r="A14" s="89" t="s">
        <v>223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223</v>
      </c>
    </row>
    <row r="15" spans="1:11" x14ac:dyDescent="0.35">
      <c r="A15" t="s">
        <v>205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205</v>
      </c>
    </row>
    <row r="16" spans="1:11" x14ac:dyDescent="0.35">
      <c r="A16" t="s">
        <v>206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35">
      <c r="A17" t="s">
        <v>209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3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3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3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3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35">
      <c r="A22" t="s">
        <v>202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35">
      <c r="A23" t="s">
        <v>208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3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35">
      <c r="A25" t="s">
        <v>217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35">
      <c r="A26" s="105" t="s">
        <v>213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35">
      <c r="A27" t="s">
        <v>210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3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35">
      <c r="A29" t="s">
        <v>201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3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3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3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3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35">
      <c r="A34" t="s">
        <v>204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35">
      <c r="A35" t="s">
        <v>199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35">
      <c r="A36" s="89" t="s">
        <v>211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35">
      <c r="A37" t="s">
        <v>212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35">
      <c r="A38" t="s">
        <v>214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3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35">
      <c r="A40" t="s">
        <v>215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3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35">
      <c r="A42" s="89" t="s">
        <v>200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35">
      <c r="A43" t="s">
        <v>219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35">
      <c r="A44" s="89" t="s">
        <v>207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35">
      <c r="A45" t="s">
        <v>203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3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35">
      <c r="A47" s="105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35">
      <c r="J51" t="s">
        <v>222</v>
      </c>
    </row>
    <row r="52" spans="10:10" x14ac:dyDescent="0.35">
      <c r="J52" t="s">
        <v>217</v>
      </c>
    </row>
    <row r="53" spans="10:10" x14ac:dyDescent="0.35">
      <c r="J53" t="s">
        <v>220</v>
      </c>
    </row>
    <row r="54" spans="10:10" x14ac:dyDescent="0.35">
      <c r="J54" t="s">
        <v>113</v>
      </c>
    </row>
    <row r="55" spans="10:10" x14ac:dyDescent="0.35">
      <c r="J55" t="s">
        <v>215</v>
      </c>
    </row>
    <row r="56" spans="10:10" x14ac:dyDescent="0.35">
      <c r="J56" t="s">
        <v>115</v>
      </c>
    </row>
    <row r="57" spans="10:10" x14ac:dyDescent="0.35">
      <c r="J57" t="s">
        <v>216</v>
      </c>
    </row>
    <row r="58" spans="10:10" x14ac:dyDescent="0.35">
      <c r="J58" t="s">
        <v>223</v>
      </c>
    </row>
    <row r="59" spans="10:10" x14ac:dyDescent="0.35">
      <c r="J59" t="s">
        <v>102</v>
      </c>
    </row>
    <row r="60" spans="10:10" x14ac:dyDescent="0.35">
      <c r="J60" t="s">
        <v>109</v>
      </c>
    </row>
    <row r="61" spans="10:10" x14ac:dyDescent="0.35">
      <c r="J61" t="s">
        <v>218</v>
      </c>
    </row>
    <row r="103" spans="2:8" x14ac:dyDescent="0.35">
      <c r="B103" t="s">
        <v>192</v>
      </c>
      <c r="C103" t="s">
        <v>193</v>
      </c>
      <c r="D103" t="s">
        <v>194</v>
      </c>
      <c r="E103" t="s">
        <v>195</v>
      </c>
      <c r="F103" t="s">
        <v>196</v>
      </c>
      <c r="G103" t="s">
        <v>197</v>
      </c>
      <c r="H103" t="s">
        <v>198</v>
      </c>
    </row>
    <row r="104" spans="2:8" x14ac:dyDescent="0.3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3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3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35">
      <c r="B107" t="s">
        <v>222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35">
      <c r="B108" t="s">
        <v>215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35">
      <c r="B109" t="s">
        <v>220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35">
      <c r="B110" t="s">
        <v>217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35">
      <c r="B111" s="14" t="s">
        <v>207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3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35">
      <c r="B113" t="s">
        <v>209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3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35">
      <c r="B115" t="s">
        <v>221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35">
      <c r="B116" t="s">
        <v>202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35">
      <c r="B117" t="s">
        <v>216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3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35">
      <c r="B119" t="s">
        <v>218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3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3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3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3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35">
      <c r="B124" t="s">
        <v>223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35">
      <c r="B125" t="s">
        <v>206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35">
      <c r="B126" t="s">
        <v>208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35">
      <c r="B127" t="s">
        <v>219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35">
      <c r="B128" t="s">
        <v>201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35">
      <c r="B129" t="s">
        <v>205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35">
      <c r="B130" t="s">
        <v>204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3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35">
      <c r="B132" t="s">
        <v>210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3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35">
      <c r="B134" t="s">
        <v>211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35">
      <c r="B135" t="s">
        <v>213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35">
      <c r="B136" t="s">
        <v>199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3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35">
      <c r="B138" t="s">
        <v>212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35">
      <c r="B139" t="s">
        <v>200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35">
      <c r="B140" t="s">
        <v>214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3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3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35">
      <c r="B143" t="s">
        <v>203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3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3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35">
      <c r="B147" t="s">
        <v>241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35">
      <c r="B148" t="s">
        <v>242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35">
      <c r="B149" t="s">
        <v>243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35">
      <c r="B150" t="s">
        <v>244</v>
      </c>
      <c r="C150" t="s">
        <v>245</v>
      </c>
      <c r="D150" t="s">
        <v>245</v>
      </c>
      <c r="E150" t="s">
        <v>245</v>
      </c>
      <c r="F150" t="s">
        <v>245</v>
      </c>
      <c r="G150" t="s">
        <v>245</v>
      </c>
      <c r="H150" t="s">
        <v>245</v>
      </c>
    </row>
    <row r="151" spans="2:8" x14ac:dyDescent="0.35">
      <c r="B151" t="s">
        <v>246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35">
      <c r="B152" t="s">
        <v>224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35">
      <c r="B172" t="s">
        <v>192</v>
      </c>
      <c r="C172" t="s">
        <v>193</v>
      </c>
      <c r="D172" t="s">
        <v>194</v>
      </c>
      <c r="E172" t="s">
        <v>195</v>
      </c>
      <c r="F172" t="s">
        <v>196</v>
      </c>
      <c r="G172" t="s">
        <v>197</v>
      </c>
      <c r="H172" t="s">
        <v>198</v>
      </c>
    </row>
    <row r="173" spans="2:8" x14ac:dyDescent="0.3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3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3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35">
      <c r="B176" t="s">
        <v>222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35">
      <c r="B177" s="5" t="s">
        <v>215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35">
      <c r="B178" t="s">
        <v>220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35">
      <c r="B179" t="s">
        <v>217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35">
      <c r="B180" s="5" t="s">
        <v>207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3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35">
      <c r="B182" t="s">
        <v>209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3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35">
      <c r="B184" t="s">
        <v>221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35">
      <c r="B185" t="s">
        <v>202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35">
      <c r="B186" t="s">
        <v>216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3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35">
      <c r="B188" t="s">
        <v>218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3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3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3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3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35">
      <c r="B193" t="s">
        <v>223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35">
      <c r="B194" t="s">
        <v>206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35">
      <c r="B195" t="s">
        <v>208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35">
      <c r="B196" t="s">
        <v>219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35">
      <c r="B197" t="s">
        <v>201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35">
      <c r="B198" t="s">
        <v>205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35">
      <c r="B199" t="s">
        <v>204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3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35">
      <c r="B201" t="s">
        <v>210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3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35">
      <c r="B203" t="s">
        <v>211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35">
      <c r="B204" t="s">
        <v>213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35">
      <c r="B205" t="s">
        <v>199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3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35">
      <c r="B207" t="s">
        <v>212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35">
      <c r="B208" t="s">
        <v>200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35">
      <c r="B209" t="s">
        <v>214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3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3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35">
      <c r="B212" t="s">
        <v>203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3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3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35">
      <c r="B216" t="s">
        <v>241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35">
      <c r="B217" t="s">
        <v>242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35">
      <c r="B218" t="s">
        <v>243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35">
      <c r="B219" t="s">
        <v>244</v>
      </c>
      <c r="C219" t="s">
        <v>245</v>
      </c>
      <c r="D219" t="s">
        <v>245</v>
      </c>
      <c r="E219" t="s">
        <v>245</v>
      </c>
      <c r="F219" t="s">
        <v>245</v>
      </c>
      <c r="G219" t="s">
        <v>245</v>
      </c>
      <c r="H219" t="s">
        <v>245</v>
      </c>
    </row>
    <row r="220" spans="2:8" x14ac:dyDescent="0.35">
      <c r="B220" t="s">
        <v>246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35">
      <c r="B221" t="s">
        <v>224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5" x14ac:dyDescent="0.35"/>
  <cols>
    <col min="1" max="1" width="33.1796875" customWidth="1"/>
  </cols>
  <sheetData>
    <row r="2" spans="1:7" x14ac:dyDescent="0.35">
      <c r="A2" s="8" t="s">
        <v>192</v>
      </c>
      <c r="B2" s="8" t="s">
        <v>193</v>
      </c>
      <c r="C2" s="8" t="s">
        <v>194</v>
      </c>
      <c r="D2" s="8" t="s">
        <v>195</v>
      </c>
      <c r="E2" s="8" t="s">
        <v>196</v>
      </c>
      <c r="F2" s="8" t="s">
        <v>197</v>
      </c>
      <c r="G2" s="8" t="s">
        <v>198</v>
      </c>
    </row>
    <row r="3" spans="1:7" x14ac:dyDescent="0.3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3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3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35">
      <c r="A6" t="s">
        <v>222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35">
      <c r="A7" t="s">
        <v>215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35">
      <c r="A8" t="s">
        <v>220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35">
      <c r="A9" t="s">
        <v>217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35">
      <c r="A10" t="s">
        <v>207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3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35">
      <c r="A12" t="s">
        <v>209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3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35">
      <c r="A14" t="s">
        <v>221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35">
      <c r="A15" t="s">
        <v>202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35">
      <c r="A16" t="s">
        <v>216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3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35">
      <c r="A18" t="s">
        <v>218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3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3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3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3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35">
      <c r="A23" t="s">
        <v>223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35">
      <c r="A24" t="s">
        <v>206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35">
      <c r="A25" t="s">
        <v>208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35">
      <c r="A26" t="s">
        <v>219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35">
      <c r="A27" t="s">
        <v>201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35">
      <c r="A28" t="s">
        <v>205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35">
      <c r="A29" t="s">
        <v>204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3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35">
      <c r="A31" t="s">
        <v>210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3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35">
      <c r="A33" t="s">
        <v>211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35">
      <c r="A34" t="s">
        <v>213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35">
      <c r="A35" t="s">
        <v>199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3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35">
      <c r="A37" t="s">
        <v>212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35">
      <c r="A38" t="s">
        <v>200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35">
      <c r="A39" t="s">
        <v>214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3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3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35">
      <c r="A42" t="s">
        <v>203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3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3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workbookViewId="0">
      <selection activeCell="H48" sqref="H48"/>
    </sheetView>
  </sheetViews>
  <sheetFormatPr defaultRowHeight="14.5" x14ac:dyDescent="0.3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" thickBot="1" x14ac:dyDescent="0.4"/>
    <row r="2" spans="2:14" ht="15.5" thickTop="1" thickBot="1" x14ac:dyDescent="0.4">
      <c r="B2" s="145"/>
      <c r="C2" s="147">
        <v>2023</v>
      </c>
      <c r="D2" s="148"/>
      <c r="E2" s="139">
        <v>2024</v>
      </c>
      <c r="F2" s="140"/>
    </row>
    <row r="3" spans="2:14" ht="15" thickBot="1" x14ac:dyDescent="0.4">
      <c r="B3" s="146"/>
      <c r="C3" s="62" t="s">
        <v>228</v>
      </c>
      <c r="D3" s="63" t="s">
        <v>229</v>
      </c>
      <c r="E3" s="64" t="s">
        <v>228</v>
      </c>
      <c r="F3" s="64" t="s">
        <v>229</v>
      </c>
    </row>
    <row r="4" spans="2:14" ht="15" thickTop="1" x14ac:dyDescent="0.35">
      <c r="B4" s="65" t="s">
        <v>230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35">
      <c r="B5" s="65" t="s">
        <v>231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35">
      <c r="B6" s="69" t="s">
        <v>232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35">
      <c r="B7" s="69" t="s">
        <v>233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" thickBot="1" x14ac:dyDescent="0.4">
      <c r="B8" s="65" t="s">
        <v>234</v>
      </c>
      <c r="C8" s="73">
        <v>0.27</v>
      </c>
      <c r="D8" s="74">
        <v>0.3</v>
      </c>
      <c r="E8" s="75">
        <v>0.39</v>
      </c>
      <c r="F8" s="75">
        <v>0.15</v>
      </c>
    </row>
    <row r="9" spans="2:14" ht="15.5" thickTop="1" thickBot="1" x14ac:dyDescent="0.4">
      <c r="B9" s="69" t="s">
        <v>232</v>
      </c>
      <c r="C9" s="70">
        <v>0.246</v>
      </c>
      <c r="D9" s="71">
        <v>0.224</v>
      </c>
      <c r="E9" s="72">
        <v>0.246</v>
      </c>
      <c r="F9" s="72">
        <v>0.105</v>
      </c>
      <c r="L9" s="145"/>
      <c r="M9" s="139">
        <v>2025</v>
      </c>
      <c r="N9" s="140"/>
    </row>
    <row r="10" spans="2:14" ht="15" thickBot="1" x14ac:dyDescent="0.4">
      <c r="B10" s="76" t="s">
        <v>233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46"/>
      <c r="M10" s="64" t="s">
        <v>249</v>
      </c>
      <c r="N10" s="64" t="s">
        <v>250</v>
      </c>
    </row>
    <row r="11" spans="2:14" ht="15" thickTop="1" x14ac:dyDescent="0.35">
      <c r="L11" s="65" t="s">
        <v>230</v>
      </c>
      <c r="M11" s="68">
        <v>9.7060268588273768E-2</v>
      </c>
      <c r="N11" s="68">
        <v>8.5999999999999993E-2</v>
      </c>
    </row>
    <row r="12" spans="2:14" x14ac:dyDescent="0.35">
      <c r="L12" s="65" t="s">
        <v>231</v>
      </c>
      <c r="M12" s="68">
        <v>0.30299999999999999</v>
      </c>
      <c r="N12" s="68">
        <v>0.08</v>
      </c>
    </row>
    <row r="13" spans="2:14" x14ac:dyDescent="0.35">
      <c r="L13" s="69" t="s">
        <v>232</v>
      </c>
      <c r="M13" s="72">
        <v>0.123</v>
      </c>
      <c r="N13" s="72">
        <v>-1.0999999999999999E-2</v>
      </c>
    </row>
    <row r="14" spans="2:14" x14ac:dyDescent="0.35">
      <c r="L14" s="69" t="s">
        <v>233</v>
      </c>
      <c r="M14" s="72">
        <v>0.36699999999999999</v>
      </c>
      <c r="N14" s="72">
        <v>0.111</v>
      </c>
    </row>
    <row r="15" spans="2:14" x14ac:dyDescent="0.35">
      <c r="L15" s="65" t="s">
        <v>234</v>
      </c>
      <c r="M15" s="75">
        <v>0.39</v>
      </c>
      <c r="N15" s="75">
        <v>0.15</v>
      </c>
    </row>
    <row r="16" spans="2:14" x14ac:dyDescent="0.35">
      <c r="L16" s="69" t="s">
        <v>232</v>
      </c>
      <c r="M16" s="72">
        <v>0.246</v>
      </c>
      <c r="N16" s="72">
        <v>0.105</v>
      </c>
    </row>
    <row r="17" spans="3:14" ht="15" thickBot="1" x14ac:dyDescent="0.4">
      <c r="L17" s="76" t="s">
        <v>233</v>
      </c>
      <c r="M17" s="79">
        <v>0.432</v>
      </c>
      <c r="N17" s="79">
        <v>0.16600000000000001</v>
      </c>
    </row>
    <row r="18" spans="3:14" ht="15" thickTop="1" x14ac:dyDescent="0.3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3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3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3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3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3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" thickBot="1" x14ac:dyDescent="0.4"/>
    <row r="34" spans="11:14" ht="15.5" thickTop="1" thickBot="1" x14ac:dyDescent="0.4">
      <c r="K34" s="116"/>
      <c r="L34" s="141"/>
      <c r="M34" s="143">
        <v>2025</v>
      </c>
      <c r="N34" s="144"/>
    </row>
    <row r="35" spans="11:14" ht="15.5" thickTop="1" thickBot="1" x14ac:dyDescent="0.4">
      <c r="K35" s="116"/>
      <c r="L35" s="142"/>
      <c r="M35" s="119" t="s">
        <v>251</v>
      </c>
      <c r="N35" s="120" t="s">
        <v>250</v>
      </c>
    </row>
    <row r="36" spans="11:14" ht="15" thickTop="1" x14ac:dyDescent="0.35">
      <c r="K36" s="116"/>
      <c r="L36" s="8" t="s">
        <v>69</v>
      </c>
      <c r="M36" s="121">
        <v>0.10711889944317066</v>
      </c>
      <c r="N36" s="122">
        <v>9.0651938970120804E-2</v>
      </c>
    </row>
    <row r="37" spans="11:14" x14ac:dyDescent="0.35">
      <c r="K37" s="116"/>
      <c r="L37" s="65" t="s">
        <v>230</v>
      </c>
      <c r="M37" s="121">
        <v>9.7060268588273768E-2</v>
      </c>
      <c r="N37" s="122">
        <v>0.11529847425301964</v>
      </c>
    </row>
    <row r="38" spans="11:14" x14ac:dyDescent="0.35">
      <c r="K38" s="116"/>
      <c r="L38" s="118" t="s">
        <v>78</v>
      </c>
      <c r="M38" s="121">
        <v>8.2976416639371164E-2</v>
      </c>
      <c r="N38" s="122">
        <v>9.3734265734265687E-2</v>
      </c>
    </row>
    <row r="39" spans="11:14" x14ac:dyDescent="0.35">
      <c r="K39" s="116"/>
      <c r="L39" s="115" t="s">
        <v>141</v>
      </c>
      <c r="M39" s="121">
        <v>0.1059266295447101</v>
      </c>
      <c r="N39" s="122">
        <v>8.023649078194528E-2</v>
      </c>
    </row>
    <row r="40" spans="11:14" x14ac:dyDescent="0.35">
      <c r="K40" s="116"/>
      <c r="L40" s="115" t="s">
        <v>142</v>
      </c>
      <c r="M40" s="121">
        <v>8.7717327219128727E-2</v>
      </c>
      <c r="N40" s="122">
        <v>7.8792434837889447E-2</v>
      </c>
    </row>
    <row r="41" spans="11:14" x14ac:dyDescent="0.35">
      <c r="K41" s="116"/>
      <c r="L41" s="115" t="s">
        <v>143</v>
      </c>
      <c r="M41" s="121">
        <v>8.4639371110383221E-2</v>
      </c>
      <c r="N41" s="122">
        <v>7.5742848061029822E-2</v>
      </c>
    </row>
    <row r="42" spans="11:14" x14ac:dyDescent="0.35">
      <c r="K42" s="116"/>
      <c r="L42" s="115" t="s">
        <v>83</v>
      </c>
      <c r="M42" s="121">
        <v>5.8382574516868679E-2</v>
      </c>
      <c r="N42" s="122">
        <v>5.5230133502860657E-2</v>
      </c>
    </row>
    <row r="43" spans="11:14" x14ac:dyDescent="0.35">
      <c r="K43" s="116"/>
      <c r="L43" s="115" t="s">
        <v>144</v>
      </c>
      <c r="M43" s="121">
        <v>0.10024926301998049</v>
      </c>
      <c r="N43" s="122">
        <v>7.7425937698665015E-2</v>
      </c>
    </row>
    <row r="44" spans="11:14" x14ac:dyDescent="0.35">
      <c r="K44" s="116"/>
      <c r="L44" s="115" t="s">
        <v>84</v>
      </c>
      <c r="M44" s="121">
        <v>6.9161480510972817E-2</v>
      </c>
      <c r="N44" s="122">
        <v>5.1195486331850004E-2</v>
      </c>
    </row>
    <row r="45" spans="11:14" x14ac:dyDescent="0.35">
      <c r="K45" s="116"/>
      <c r="L45" s="115" t="s">
        <v>145</v>
      </c>
      <c r="M45" s="121">
        <v>7.8573534228627562E-2</v>
      </c>
      <c r="N45" s="122">
        <v>4.8088048315320986E-2</v>
      </c>
    </row>
    <row r="46" spans="11:14" ht="15" thickBot="1" x14ac:dyDescent="0.4">
      <c r="K46" s="116"/>
      <c r="L46" s="117" t="s">
        <v>146</v>
      </c>
      <c r="M46" s="123">
        <v>8.6087127415656717E-2</v>
      </c>
      <c r="N46" s="124">
        <v>7.6481881754609127E-2</v>
      </c>
    </row>
    <row r="47" spans="11:14" ht="15" thickTop="1" x14ac:dyDescent="0.3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2026Q1&amp;Q2</vt:lpstr>
      <vt:lpstr>Derivation of GDP CP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2026-06-16T12:31:49Z</dcterms:modified>
</cp:coreProperties>
</file>