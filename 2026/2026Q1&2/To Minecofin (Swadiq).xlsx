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wa2351693\Desktop\Fiscal year 2025_26\Data request\"/>
    </mc:Choice>
  </mc:AlternateContent>
  <xr:revisionPtr revIDLastSave="0" documentId="13_ncr:1_{71EFB55F-451C-441B-BEA7-CD6B43C2F60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 MINECOFIN detail Penalties" sheetId="2" r:id="rId1"/>
    <sheet name="Summary for MINECOFIN" sheetId="1" r:id="rId2"/>
  </sheets>
  <externalReferences>
    <externalReference r:id="rId3"/>
    <externalReference r:id="rId4"/>
    <externalReference r:id="rId5"/>
  </externalReferences>
  <definedNames>
    <definedName name="Products">[1]RPCA1!$A$2:$E$228</definedName>
    <definedName name="SA_Receipts_Actual">#REF!</definedName>
    <definedName name="SelectedDate">[2]Pivot!$F$12</definedName>
    <definedName name="SheetLookup">'[2]Lookup &amp; list Parameters'!$D$117:$E$147</definedName>
    <definedName name="ThisFile">[2]Settings!$J$24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8" i="1" l="1"/>
  <c r="AT31" i="1"/>
  <c r="AT32" i="1"/>
  <c r="AT33" i="1"/>
  <c r="AT34" i="1"/>
  <c r="AP31" i="1"/>
  <c r="AP32" i="1"/>
  <c r="AP33" i="1"/>
  <c r="AP34" i="1"/>
  <c r="AU8" i="1"/>
  <c r="AU20" i="1"/>
  <c r="AU7" i="1" l="1"/>
  <c r="AU19" i="1"/>
  <c r="AU4" i="1"/>
  <c r="AU6" i="1"/>
  <c r="AU5" i="1"/>
  <c r="AU17" i="1"/>
  <c r="AU34" i="1"/>
  <c r="AU33" i="1"/>
  <c r="AU15" i="1"/>
  <c r="AU23" i="1"/>
  <c r="AU9" i="1"/>
  <c r="AU32" i="1"/>
  <c r="AU16" i="1"/>
  <c r="AU24" i="1"/>
  <c r="AU10" i="1"/>
  <c r="AU31" i="1"/>
  <c r="AU29" i="1"/>
  <c r="AU14" i="1"/>
  <c r="AU27" i="1"/>
  <c r="AU13" i="1"/>
  <c r="AU26" i="1"/>
  <c r="AU12" i="1"/>
  <c r="AU25" i="1"/>
  <c r="AU11" i="1"/>
  <c r="AI32" i="1"/>
  <c r="AG32" i="1"/>
  <c r="AL11" i="1"/>
  <c r="AL4" i="1"/>
  <c r="AG4" i="1"/>
  <c r="AK4" i="1"/>
  <c r="AH4" i="1"/>
  <c r="AI4" i="1"/>
  <c r="AJ4" i="1"/>
  <c r="AI11" i="1"/>
  <c r="AG11" i="1"/>
  <c r="AH11" i="1"/>
  <c r="AJ23" i="1"/>
  <c r="AK23" i="1"/>
  <c r="AL23" i="1"/>
  <c r="AG23" i="1"/>
  <c r="AH23" i="1"/>
  <c r="AI23" i="1"/>
  <c r="AG31" i="1"/>
  <c r="AH31" i="1"/>
  <c r="AI31" i="1"/>
  <c r="AH32" i="1"/>
  <c r="AJ32" i="1" l="1"/>
  <c r="AL29" i="1"/>
  <c r="AJ31" i="1"/>
  <c r="AK31" i="1" s="1"/>
  <c r="AI29" i="1"/>
  <c r="AK11" i="1"/>
  <c r="AJ11" i="1"/>
  <c r="AJ29" i="1" s="1"/>
  <c r="AH29" i="1"/>
  <c r="AG29" i="1"/>
  <c r="AK29" i="1" l="1"/>
  <c r="AL33" i="1" l="1"/>
  <c r="AL34" i="1" l="1"/>
  <c r="AL31" i="1" l="1"/>
  <c r="AL43" i="1" s="1"/>
  <c r="AK32" i="1" l="1"/>
  <c r="AL32" i="1" s="1"/>
  <c r="P37" i="1" l="1"/>
</calcChain>
</file>

<file path=xl/sharedStrings.xml><?xml version="1.0" encoding="utf-8"?>
<sst xmlns="http://schemas.openxmlformats.org/spreadsheetml/2006/main" count="104" uniqueCount="57">
  <si>
    <t>Tax head</t>
  </si>
  <si>
    <t>July-Sept 2022</t>
  </si>
  <si>
    <t>Oct-Dec 2022</t>
  </si>
  <si>
    <t>July-Dec 2022</t>
  </si>
  <si>
    <t>Jan-Mar 2023</t>
  </si>
  <si>
    <t>Apr-Jun 2023</t>
  </si>
  <si>
    <t>July-Jun 2022/2023</t>
  </si>
  <si>
    <t>1. Direct Taxes</t>
  </si>
  <si>
    <t xml:space="preserve">         - PAYE</t>
  </si>
  <si>
    <t xml:space="preserve">         - Profit Taxes</t>
  </si>
  <si>
    <t xml:space="preserve">         - Withholding Tax 15%</t>
  </si>
  <si>
    <t xml:space="preserve">         - Withholding Tax 3%</t>
  </si>
  <si>
    <t xml:space="preserve">         - Withholding Tax 5%</t>
  </si>
  <si>
    <t xml:space="preserve">         - Vehicle Registration</t>
  </si>
  <si>
    <t>2. Tax on Goods and Services</t>
  </si>
  <si>
    <t xml:space="preserve">         - Value Added Tax (VAT)</t>
  </si>
  <si>
    <t xml:space="preserve">                     VAT_Imports     </t>
  </si>
  <si>
    <t xml:space="preserve">                     VAT_Local</t>
  </si>
  <si>
    <t xml:space="preserve">         - Excise</t>
  </si>
  <si>
    <t xml:space="preserve">                     Excise_Imports  </t>
  </si>
  <si>
    <t xml:space="preserve">                     Excise_Local</t>
  </si>
  <si>
    <t xml:space="preserve">         - Mining Royalties</t>
  </si>
  <si>
    <t xml:space="preserve">         - Road Fund</t>
  </si>
  <si>
    <t xml:space="preserve">         - Strategic reserve Petroleum Levy</t>
  </si>
  <si>
    <t>3. International Trade taxes</t>
  </si>
  <si>
    <t xml:space="preserve">         - Import Duty</t>
  </si>
  <si>
    <t xml:space="preserve">         - Infrastructure Development Levy</t>
  </si>
  <si>
    <t xml:space="preserve">         - African Union levy</t>
  </si>
  <si>
    <t xml:space="preserve">         - Other Customs Revenues</t>
  </si>
  <si>
    <t>Total Tax Revenues</t>
  </si>
  <si>
    <t>Non-Tax Revenues</t>
  </si>
  <si>
    <t xml:space="preserve">Local Government Taxes &amp; Fees </t>
  </si>
  <si>
    <t>LG Tax</t>
  </si>
  <si>
    <t>LG Fees</t>
  </si>
  <si>
    <t>Of which Interest and penality</t>
  </si>
  <si>
    <t xml:space="preserve">ROad Fund - Road toll </t>
  </si>
  <si>
    <t xml:space="preserve"> Interest and penality</t>
  </si>
  <si>
    <t xml:space="preserve"> REVENUE COLLECTIONS FOR JULY-JUNE 2022/23</t>
  </si>
  <si>
    <t>July-Sept 2023</t>
  </si>
  <si>
    <t>July-Dec 2023</t>
  </si>
  <si>
    <t>Jan-Mar 2024</t>
  </si>
  <si>
    <t>Jul-Jun 2023/24</t>
  </si>
  <si>
    <t>Jan-June 2024</t>
  </si>
  <si>
    <t>Apr-Jun 2024</t>
  </si>
  <si>
    <t>July-Sept 2024</t>
  </si>
  <si>
    <t>Oct-Dec 2024</t>
  </si>
  <si>
    <t>July-Dec 2024</t>
  </si>
  <si>
    <t>Jan-Mar 2025</t>
  </si>
  <si>
    <t>Apr-Jun 2025</t>
  </si>
  <si>
    <t>Jan-June 2025</t>
  </si>
  <si>
    <t>Jul-Jun 2024/25</t>
  </si>
  <si>
    <t xml:space="preserve">         - Tourism Levy</t>
  </si>
  <si>
    <t xml:space="preserve">         - Gaming Tax</t>
  </si>
  <si>
    <t xml:space="preserve">         - Environmental levy</t>
  </si>
  <si>
    <t>July-Sept 2025</t>
  </si>
  <si>
    <t>Oct-Dec 2025</t>
  </si>
  <si>
    <t>July-Dec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</si>
</sst>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mm\ yyyy"/>
    <numFmt numFmtId="167" formatCode="_-* #,##0.00_-;\-* #,##0.00_-;_-* &quot;-&quot;??_-;_-@_-"/>
    <numFmt numFmtId="168" formatCode="_(* #,##0.0_);_(* \(#,##0.0\);_(* &quot;-&quot;??_);_(@_)"/>
  </numFmts>
  <fonts count="15" x14ac:knownFonts="1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Calibri"/>
      <family val="2"/>
    </font>
    <font>
      <b/>
      <sz val="12"/>
      <name val="MS Sans Serif"/>
    </font>
    <font>
      <sz val="11"/>
      <color theme="1"/>
      <name val="Calibri"/>
      <family val="2"/>
    </font>
    <font>
      <b/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5" fillId="0" borderId="0"/>
    <xf numFmtId="167" fontId="2" fillId="0" borderId="0" applyFont="0" applyFill="0" applyBorder="0" applyAlignment="0" applyProtection="0"/>
    <xf numFmtId="0" fontId="13" fillId="0" borderId="0"/>
    <xf numFmtId="0" fontId="13" fillId="0" borderId="0"/>
  </cellStyleXfs>
  <cellXfs count="60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vertical="center"/>
    </xf>
    <xf numFmtId="17" fontId="6" fillId="0" borderId="2" xfId="3" applyNumberFormat="1" applyFont="1" applyBorder="1" applyAlignment="1">
      <alignment horizontal="center" wrapText="1"/>
    </xf>
    <xf numFmtId="17" fontId="7" fillId="0" borderId="2" xfId="3" applyNumberFormat="1" applyFont="1" applyBorder="1" applyAlignment="1">
      <alignment horizontal="center" wrapText="1"/>
    </xf>
    <xf numFmtId="164" fontId="4" fillId="0" borderId="1" xfId="1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64" fontId="8" fillId="0" borderId="1" xfId="1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165" fontId="0" fillId="0" borderId="0" xfId="2" applyNumberFormat="1" applyFont="1"/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164" fontId="4" fillId="0" borderId="2" xfId="1" applyNumberFormat="1" applyFont="1" applyBorder="1" applyAlignment="1">
      <alignment horizontal="right" vertical="center"/>
    </xf>
    <xf numFmtId="164" fontId="9" fillId="2" borderId="1" xfId="0" applyNumberFormat="1" applyFont="1" applyFill="1" applyBorder="1"/>
    <xf numFmtId="164" fontId="10" fillId="2" borderId="1" xfId="0" applyNumberFormat="1" applyFont="1" applyFill="1" applyBorder="1"/>
    <xf numFmtId="164" fontId="9" fillId="2" borderId="2" xfId="0" applyNumberFormat="1" applyFont="1" applyFill="1" applyBorder="1"/>
    <xf numFmtId="164" fontId="0" fillId="0" borderId="0" xfId="0" applyNumberFormat="1"/>
    <xf numFmtId="164" fontId="0" fillId="0" borderId="0" xfId="1" applyNumberFormat="1" applyFont="1"/>
    <xf numFmtId="3" fontId="0" fillId="0" borderId="0" xfId="0" applyNumberFormat="1"/>
    <xf numFmtId="43" fontId="4" fillId="0" borderId="0" xfId="1" applyFont="1" applyBorder="1" applyAlignment="1">
      <alignment horizontal="right" vertical="center"/>
    </xf>
    <xf numFmtId="43" fontId="0" fillId="0" borderId="0" xfId="0" applyNumberFormat="1"/>
    <xf numFmtId="168" fontId="0" fillId="0" borderId="0" xfId="0" applyNumberFormat="1"/>
    <xf numFmtId="164" fontId="3" fillId="0" borderId="0" xfId="1" applyNumberFormat="1" applyFont="1"/>
    <xf numFmtId="164" fontId="8" fillId="3" borderId="1" xfId="1" applyNumberFormat="1" applyFont="1" applyFill="1" applyBorder="1" applyAlignment="1">
      <alignment horizontal="right" vertical="center"/>
    </xf>
    <xf numFmtId="164" fontId="8" fillId="4" borderId="1" xfId="1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37" fontId="4" fillId="0" borderId="1" xfId="1" applyNumberFormat="1" applyFont="1" applyBorder="1" applyAlignment="1">
      <alignment horizontal="right" vertical="center"/>
    </xf>
    <xf numFmtId="164" fontId="9" fillId="2" borderId="1" xfId="1" applyNumberFormat="1" applyFont="1" applyFill="1" applyBorder="1"/>
    <xf numFmtId="17" fontId="6" fillId="0" borderId="1" xfId="3" applyNumberFormat="1" applyFont="1" applyBorder="1" applyAlignment="1">
      <alignment horizontal="center" wrapText="1"/>
    </xf>
    <xf numFmtId="43" fontId="0" fillId="0" borderId="0" xfId="1" applyFont="1"/>
    <xf numFmtId="164" fontId="8" fillId="0" borderId="0" xfId="1" applyNumberFormat="1" applyFont="1" applyBorder="1" applyAlignment="1">
      <alignment horizontal="right" vertical="center"/>
    </xf>
    <xf numFmtId="164" fontId="8" fillId="0" borderId="0" xfId="1" applyNumberFormat="1" applyFont="1"/>
    <xf numFmtId="164" fontId="4" fillId="2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3" fontId="11" fillId="6" borderId="3" xfId="0" applyNumberFormat="1" applyFont="1" applyFill="1" applyBorder="1" applyAlignment="1">
      <alignment horizontal="right" vertical="top" wrapText="1"/>
    </xf>
    <xf numFmtId="164" fontId="8" fillId="0" borderId="0" xfId="1" applyNumberFormat="1" applyFont="1" applyBorder="1"/>
    <xf numFmtId="164" fontId="0" fillId="0" borderId="0" xfId="1" applyNumberFormat="1" applyFont="1" applyBorder="1"/>
    <xf numFmtId="3" fontId="14" fillId="7" borderId="0" xfId="6" applyNumberFormat="1" applyFont="1" applyFill="1" applyAlignment="1">
      <alignment horizontal="right" vertical="top" wrapText="1"/>
    </xf>
    <xf numFmtId="164" fontId="8" fillId="0" borderId="0" xfId="0" applyNumberFormat="1" applyFont="1"/>
    <xf numFmtId="3" fontId="8" fillId="0" borderId="0" xfId="0" applyNumberFormat="1" applyFont="1"/>
    <xf numFmtId="3" fontId="11" fillId="6" borderId="0" xfId="5" applyNumberFormat="1" applyFont="1" applyFill="1" applyAlignment="1">
      <alignment horizontal="right" vertical="top" wrapText="1"/>
    </xf>
    <xf numFmtId="164" fontId="12" fillId="0" borderId="0" xfId="0" applyNumberFormat="1" applyFont="1"/>
    <xf numFmtId="17" fontId="7" fillId="0" borderId="4" xfId="3" applyNumberFormat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right" vertical="center"/>
    </xf>
    <xf numFmtId="164" fontId="8" fillId="0" borderId="5" xfId="1" applyNumberFormat="1" applyFont="1" applyBorder="1" applyAlignment="1">
      <alignment horizontal="right" vertical="center"/>
    </xf>
    <xf numFmtId="164" fontId="8" fillId="0" borderId="5" xfId="0" applyNumberFormat="1" applyFont="1" applyBorder="1" applyAlignment="1">
      <alignment horizontal="right" vertical="center"/>
    </xf>
    <xf numFmtId="164" fontId="9" fillId="2" borderId="5" xfId="0" applyNumberFormat="1" applyFont="1" applyFill="1" applyBorder="1"/>
    <xf numFmtId="164" fontId="4" fillId="0" borderId="1" xfId="1" applyNumberFormat="1" applyFont="1" applyBorder="1" applyAlignment="1">
      <alignment vertical="center"/>
    </xf>
    <xf numFmtId="164" fontId="8" fillId="0" borderId="1" xfId="1" applyNumberFormat="1" applyFont="1" applyBorder="1" applyAlignment="1">
      <alignment horizontal="left" vertical="center"/>
    </xf>
    <xf numFmtId="164" fontId="4" fillId="0" borderId="1" xfId="1" applyNumberFormat="1" applyFont="1" applyBorder="1" applyAlignment="1">
      <alignment horizontal="left"/>
    </xf>
    <xf numFmtId="164" fontId="8" fillId="0" borderId="1" xfId="1" applyNumberFormat="1" applyFont="1" applyBorder="1"/>
    <xf numFmtId="0" fontId="8" fillId="0" borderId="0" xfId="0" applyFont="1"/>
    <xf numFmtId="17" fontId="4" fillId="0" borderId="2" xfId="3" applyNumberFormat="1" applyFont="1" applyBorder="1" applyAlignment="1">
      <alignment horizontal="center" wrapText="1"/>
    </xf>
    <xf numFmtId="164" fontId="4" fillId="0" borderId="1" xfId="1" applyNumberFormat="1" applyFont="1" applyBorder="1"/>
    <xf numFmtId="164" fontId="4" fillId="0" borderId="1" xfId="1" applyNumberFormat="1" applyFont="1" applyBorder="1" applyAlignment="1">
      <alignment horizontal="left" vertical="center"/>
    </xf>
    <xf numFmtId="164" fontId="8" fillId="0" borderId="1" xfId="1" applyNumberFormat="1" applyFont="1" applyFill="1" applyBorder="1" applyAlignment="1">
      <alignment horizontal="right" vertical="center"/>
    </xf>
  </cellXfs>
  <cellStyles count="7">
    <cellStyle name="Comma" xfId="1" builtinId="3"/>
    <cellStyle name="Comma 22" xfId="4" xr:uid="{00000000-0005-0000-0000-000001000000}"/>
    <cellStyle name="Normal" xfId="0" builtinId="0"/>
    <cellStyle name="Normal 42" xfId="3" xr:uid="{00000000-0005-0000-0000-000003000000}"/>
    <cellStyle name="Normal 75" xfId="6" xr:uid="{1D1C6764-55E0-484F-9714-E9CC313B3C12}"/>
    <cellStyle name="Normal 77" xfId="5" xr:uid="{8050E3C0-F467-4F85-9BAE-31BD44E7281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wner\My%20Documents\My%20current%20docs\1%20Rwanda\0%20Rwanda%20Oct09\GDPsystem%202009Q2%20released%20on%2013th%20october\RCPA-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7\planning\Estimation%20models\Receipt%20models\Receipts%20models\ECONOMIST\REVENUE2010\Automated%20reports%20200910\201003%20REVISED%20MAR%202010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ileserver\Strategy%20&amp;%20Risk%20Analysis%20Department\Planning,%20Research%20and%20Statistics\Tax%20Analysis%20and%20Revenue%20Forecasting\4.%20Tax%20Reve%20Perfor%20Analy\Perfomance_report_tables_of_collections_2023_24\Revenue%20collections%20for%20July-June_2023_24%20-%20With%20TCC.xlsx" TargetMode="External"/><Relationship Id="rId2" Type="http://schemas.microsoft.com/office/2019/04/relationships/externalLinkLongPath" Target="file:///\\fileserver\Strategy%20&amp;%20Risk%20Analysis%20Department\Planning,%20Research%20and%20Statistics\Tax%20Analysis%20and%20Revenue%20Forecasting\4.%20Tax%20Reve%20Perfor%20Analy\Perfomance_report_tables_of_collections_2023_24\Revenue%20collections%20for%20July-June_2023_24%20-%20With%20TCC.xlsx?05805CBB" TargetMode="External"/><Relationship Id="rId1" Type="http://schemas.openxmlformats.org/officeDocument/2006/relationships/externalLinkPath" Target="file:///\\05805CBB\Revenue%20collections%20for%20July-June_2023_24%20-%20With%20T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CA1"/>
      <sheetName val="RPCA"/>
    </sheetNames>
    <sheetDataSet>
      <sheetData sheetId="0" refreshError="1">
        <row r="2">
          <cell r="A2" t="str">
            <v>Len</v>
          </cell>
          <cell r="B2" t="str">
            <v>RCPA</v>
          </cell>
          <cell r="C2" t="str">
            <v>Libellés</v>
          </cell>
          <cell r="D2" t="str">
            <v>RCPA</v>
          </cell>
          <cell r="E2" t="str">
            <v>Labels</v>
          </cell>
        </row>
        <row r="3">
          <cell r="A3">
            <v>1</v>
          </cell>
          <cell r="B3" t="str">
            <v>R</v>
          </cell>
          <cell r="C3" t="str">
            <v>TOTAL RWANDA</v>
          </cell>
          <cell r="D3" t="str">
            <v>R</v>
          </cell>
          <cell r="E3" t="str">
            <v>TOTAL RWANDA</v>
          </cell>
        </row>
        <row r="4">
          <cell r="A4">
            <v>2</v>
          </cell>
          <cell r="B4" t="str">
            <v>RA</v>
          </cell>
          <cell r="C4" t="str">
            <v>PRODUITS DE L'AGRICULTURE</v>
          </cell>
          <cell r="D4" t="str">
            <v>RA</v>
          </cell>
          <cell r="E4" t="str">
            <v>AGRICULTURE, FORESTRY AND FISHING</v>
          </cell>
        </row>
        <row r="5">
          <cell r="A5">
            <v>2</v>
          </cell>
          <cell r="B5" t="str">
            <v>RB</v>
          </cell>
          <cell r="C5" t="str">
            <v>PRODUITS DE L'INDUSTRIE</v>
          </cell>
          <cell r="D5" t="str">
            <v>RB</v>
          </cell>
          <cell r="E5" t="str">
            <v>INDUSTRY</v>
          </cell>
        </row>
        <row r="6">
          <cell r="A6">
            <v>2</v>
          </cell>
          <cell r="B6" t="str">
            <v>RC</v>
          </cell>
          <cell r="C6" t="str">
            <v>SERVICES</v>
          </cell>
          <cell r="D6" t="str">
            <v>RC</v>
          </cell>
          <cell r="E6" t="str">
            <v>SERVICES</v>
          </cell>
        </row>
        <row r="7">
          <cell r="A7">
            <v>2</v>
          </cell>
          <cell r="B7" t="str">
            <v>RD</v>
          </cell>
          <cell r="C7" t="str">
            <v>CORRECTIONS</v>
          </cell>
          <cell r="D7" t="str">
            <v>RD</v>
          </cell>
          <cell r="E7" t="str">
            <v>ADJUSTMENTS</v>
          </cell>
        </row>
        <row r="8">
          <cell r="A8">
            <v>3</v>
          </cell>
          <cell r="B8" t="str">
            <v>RA1</v>
          </cell>
          <cell r="C8" t="str">
            <v>PRODUITS DE L'AGRICULTURE VIVRIERE</v>
          </cell>
          <cell r="D8" t="str">
            <v>RA1</v>
          </cell>
          <cell r="E8" t="str">
            <v>FOOD CROPS</v>
          </cell>
        </row>
        <row r="9">
          <cell r="A9">
            <v>3</v>
          </cell>
          <cell r="B9" t="str">
            <v>RA2</v>
          </cell>
          <cell r="C9" t="str">
            <v>PRODUITS DE L'AGRICULTURE D'EXPORTATION</v>
          </cell>
          <cell r="D9" t="str">
            <v>RA2</v>
          </cell>
          <cell r="E9" t="str">
            <v>EXPORT/CASH CROPS</v>
          </cell>
        </row>
        <row r="10">
          <cell r="A10">
            <v>3</v>
          </cell>
          <cell r="B10" t="str">
            <v>RA3</v>
          </cell>
          <cell r="C10" t="str">
            <v>PRODUITS DE L'ELEVAGE ET CHASSE</v>
          </cell>
          <cell r="D10" t="str">
            <v>RA3</v>
          </cell>
          <cell r="E10" t="str">
            <v>LIVESTOCK AND HUNTING PRODUCTS</v>
          </cell>
        </row>
        <row r="11">
          <cell r="A11">
            <v>3</v>
          </cell>
          <cell r="B11" t="str">
            <v>RA4</v>
          </cell>
          <cell r="C11" t="str">
            <v>PRODUITS DE LA SYLVICULTURE</v>
          </cell>
          <cell r="D11" t="str">
            <v>RA4</v>
          </cell>
          <cell r="E11" t="str">
            <v>FORESTRY PRODUCTS</v>
          </cell>
        </row>
        <row r="12">
          <cell r="A12">
            <v>3</v>
          </cell>
          <cell r="B12" t="str">
            <v>RA5</v>
          </cell>
          <cell r="C12" t="str">
            <v xml:space="preserve">PRODUITS DE LA PECHE </v>
          </cell>
          <cell r="D12" t="str">
            <v>RA5</v>
          </cell>
          <cell r="E12" t="str">
            <v>FISHERY PRODUCTS</v>
          </cell>
        </row>
        <row r="13">
          <cell r="A13">
            <v>3</v>
          </cell>
          <cell r="B13" t="str">
            <v>RB1</v>
          </cell>
          <cell r="C13" t="str">
            <v>PRODUITS DES ACTIVITES EXTRACTIVES</v>
          </cell>
          <cell r="D13" t="str">
            <v>RB1</v>
          </cell>
          <cell r="E13" t="str">
            <v>MINING PRODUCTS</v>
          </cell>
        </row>
        <row r="14">
          <cell r="A14">
            <v>3</v>
          </cell>
          <cell r="B14" t="str">
            <v>RB2</v>
          </cell>
          <cell r="C14" t="str">
            <v>PRODUITS DE L'INDUSTRIES ALIMENTAIRES (boissons exclus)</v>
          </cell>
          <cell r="D14" t="str">
            <v>RB2</v>
          </cell>
          <cell r="E14" t="str">
            <v>MANUFACTURING - FOOD</v>
          </cell>
        </row>
        <row r="15">
          <cell r="A15">
            <v>3</v>
          </cell>
          <cell r="B15" t="str">
            <v>RB3</v>
          </cell>
          <cell r="C15" t="str">
            <v>BOISSONS ET TABAC</v>
          </cell>
          <cell r="D15" t="str">
            <v>RB3</v>
          </cell>
          <cell r="E15" t="str">
            <v>MANUFACTURING - BEVERAGES &amp; TOBACCO</v>
          </cell>
        </row>
        <row r="16">
          <cell r="A16">
            <v>3</v>
          </cell>
          <cell r="B16" t="str">
            <v>RB4</v>
          </cell>
          <cell r="C16" t="str">
            <v>PRODUITS DES AUTRES INDUSTRIES MANUFACTURIERES</v>
          </cell>
          <cell r="D16" t="str">
            <v>RB4</v>
          </cell>
          <cell r="E16" t="str">
            <v>MANUFACTURING - OTHER</v>
          </cell>
        </row>
        <row r="17">
          <cell r="A17">
            <v>3</v>
          </cell>
          <cell r="B17" t="str">
            <v>RB5</v>
          </cell>
          <cell r="C17" t="str">
            <v>ELECTRICITE ET EAU</v>
          </cell>
          <cell r="D17" t="str">
            <v>RB5</v>
          </cell>
          <cell r="E17" t="str">
            <v>ELECTRICITY AND WATER</v>
          </cell>
        </row>
        <row r="18">
          <cell r="A18">
            <v>3</v>
          </cell>
          <cell r="B18" t="str">
            <v>RB6</v>
          </cell>
          <cell r="C18" t="str">
            <v>PRODUITS DES TRAVAUX DE CONSTRUCTION</v>
          </cell>
          <cell r="D18" t="str">
            <v>RB6</v>
          </cell>
          <cell r="E18" t="str">
            <v>CONSTRUCTION</v>
          </cell>
        </row>
        <row r="19">
          <cell r="A19">
            <v>3</v>
          </cell>
          <cell r="B19" t="str">
            <v>RC1</v>
          </cell>
          <cell r="C19" t="str">
            <v>COMMERCE, SERVICES DE REPARATION</v>
          </cell>
          <cell r="D19" t="str">
            <v>RC1</v>
          </cell>
          <cell r="E19" t="str">
            <v>WHOLESALE &amp; RETAIL TRADE &amp; REPAIRS</v>
          </cell>
        </row>
        <row r="20">
          <cell r="A20">
            <v>3</v>
          </cell>
          <cell r="B20" t="str">
            <v>RC2</v>
          </cell>
          <cell r="C20" t="str">
            <v>HOTELS ET RESTAURANTS</v>
          </cell>
          <cell r="D20" t="str">
            <v>RC2</v>
          </cell>
          <cell r="E20" t="str">
            <v>HOTELS &amp; RESTAURANTS</v>
          </cell>
        </row>
        <row r="21">
          <cell r="A21">
            <v>3</v>
          </cell>
          <cell r="B21" t="str">
            <v>RC3</v>
          </cell>
          <cell r="C21" t="str">
            <v>TRANSPORTS ET COMMUNICATIONS</v>
          </cell>
          <cell r="D21" t="str">
            <v>RC3</v>
          </cell>
          <cell r="E21" t="str">
            <v>TRANSPORT &amp; COMMUNICATIONS</v>
          </cell>
        </row>
        <row r="22">
          <cell r="A22">
            <v>3</v>
          </cell>
          <cell r="B22" t="str">
            <v>RC4</v>
          </cell>
          <cell r="C22" t="str">
            <v xml:space="preserve">SERVICES D'INTERMEDIATION FINANCIERES </v>
          </cell>
          <cell r="D22" t="str">
            <v>RC4</v>
          </cell>
          <cell r="E22" t="str">
            <v>FINANCIAL SERVICES</v>
          </cell>
        </row>
        <row r="23">
          <cell r="A23">
            <v>3</v>
          </cell>
          <cell r="B23" t="str">
            <v>RC5</v>
          </cell>
          <cell r="C23" t="str">
            <v>SERVICES IMMOBILIERS ET SERVICES D'AFFAIRES</v>
          </cell>
          <cell r="D23" t="str">
            <v>RC5</v>
          </cell>
          <cell r="E23" t="str">
            <v>REAL ESTATE AND BUSINESS SERVICES</v>
          </cell>
        </row>
        <row r="24">
          <cell r="A24">
            <v>3</v>
          </cell>
          <cell r="B24" t="str">
            <v>RC6</v>
          </cell>
          <cell r="C24" t="str">
            <v xml:space="preserve">SERVICES D'ADMINISTRATION PUBLIQUE </v>
          </cell>
          <cell r="D24" t="str">
            <v>RC6</v>
          </cell>
          <cell r="E24" t="str">
            <v>PUBLIC ADMINISTRATION</v>
          </cell>
        </row>
        <row r="25">
          <cell r="A25">
            <v>3</v>
          </cell>
          <cell r="B25" t="str">
            <v>RC7</v>
          </cell>
          <cell r="C25" t="str">
            <v>EDUCATION</v>
          </cell>
          <cell r="D25" t="str">
            <v>RC7</v>
          </cell>
          <cell r="E25" t="str">
            <v>EDUCATION</v>
          </cell>
        </row>
        <row r="26">
          <cell r="A26">
            <v>3</v>
          </cell>
          <cell r="B26" t="str">
            <v>RC8</v>
          </cell>
          <cell r="C26" t="str">
            <v xml:space="preserve">SANTE </v>
          </cell>
          <cell r="D26" t="str">
            <v>RC8</v>
          </cell>
          <cell r="E26" t="str">
            <v>HEALTH</v>
          </cell>
        </row>
        <row r="27">
          <cell r="A27">
            <v>3</v>
          </cell>
          <cell r="B27" t="str">
            <v>RC9</v>
          </cell>
          <cell r="C27" t="str">
            <v>AUTRES SERVICES</v>
          </cell>
          <cell r="D27" t="str">
            <v>RC9</v>
          </cell>
          <cell r="E27" t="str">
            <v>OTHER SERVICES</v>
          </cell>
        </row>
        <row r="28">
          <cell r="A28">
            <v>3</v>
          </cell>
          <cell r="B28" t="str">
            <v>RD0</v>
          </cell>
          <cell r="C28" t="str">
            <v>CORRECTIONS</v>
          </cell>
          <cell r="D28" t="str">
            <v>RD0</v>
          </cell>
          <cell r="E28" t="str">
            <v>ADJUSTMENTS</v>
          </cell>
        </row>
        <row r="29">
          <cell r="A29">
            <v>5</v>
          </cell>
          <cell r="B29" t="str">
            <v>RA101</v>
          </cell>
          <cell r="C29" t="str">
            <v>Céréales</v>
          </cell>
          <cell r="D29" t="str">
            <v>RA101</v>
          </cell>
          <cell r="E29" t="str">
            <v>Cereals</v>
          </cell>
        </row>
        <row r="30">
          <cell r="A30">
            <v>5</v>
          </cell>
          <cell r="B30" t="str">
            <v>RA102</v>
          </cell>
          <cell r="C30" t="str">
            <v>Racines et tubercules</v>
          </cell>
          <cell r="D30" t="str">
            <v>RA102</v>
          </cell>
          <cell r="E30" t="str">
            <v>Roots and Tubers</v>
          </cell>
        </row>
        <row r="31">
          <cell r="A31">
            <v>5</v>
          </cell>
          <cell r="B31" t="str">
            <v>RA103</v>
          </cell>
          <cell r="C31" t="str">
            <v>Legumineuses et legumes</v>
          </cell>
          <cell r="D31" t="str">
            <v>RA103</v>
          </cell>
          <cell r="E31" t="str">
            <v>Vegetables</v>
          </cell>
        </row>
        <row r="32">
          <cell r="A32">
            <v>5</v>
          </cell>
          <cell r="B32" t="str">
            <v>RA104</v>
          </cell>
          <cell r="C32" t="str">
            <v>Plantin et fruits</v>
          </cell>
          <cell r="D32" t="str">
            <v>RA104</v>
          </cell>
          <cell r="E32" t="str">
            <v>Bananas and fruit</v>
          </cell>
        </row>
        <row r="33">
          <cell r="A33">
            <v>5</v>
          </cell>
          <cell r="B33" t="str">
            <v>RA105</v>
          </cell>
          <cell r="C33" t="str">
            <v>Graines et fruits oléagineux</v>
          </cell>
          <cell r="D33" t="str">
            <v>RA105</v>
          </cell>
          <cell r="E33" t="str">
            <v>Oil seeds n.e.c. and oleaginous fruit</v>
          </cell>
        </row>
        <row r="34">
          <cell r="A34">
            <v>5</v>
          </cell>
          <cell r="B34" t="str">
            <v>RA201</v>
          </cell>
          <cell r="C34" t="str">
            <v xml:space="preserve">Café cerise </v>
          </cell>
          <cell r="D34" t="str">
            <v>RA201</v>
          </cell>
          <cell r="E34" t="str">
            <v>Raw coffee</v>
          </cell>
        </row>
        <row r="35">
          <cell r="A35">
            <v>5</v>
          </cell>
          <cell r="B35" t="str">
            <v>RA202</v>
          </cell>
          <cell r="C35" t="str">
            <v>Café décortiqué ou vert (non preparé, non décaféiné)</v>
          </cell>
          <cell r="D35" t="str">
            <v>RA202</v>
          </cell>
          <cell r="E35" t="str">
            <v>Coffee, not roasted, not decaffeinated</v>
          </cell>
        </row>
        <row r="36">
          <cell r="A36">
            <v>5</v>
          </cell>
          <cell r="B36" t="str">
            <v>RA203</v>
          </cell>
          <cell r="C36" t="str">
            <v>Thé (feuille verte)</v>
          </cell>
          <cell r="D36" t="str">
            <v>RA203</v>
          </cell>
          <cell r="E36" t="str">
            <v>Tea (unprocessed green leaf)</v>
          </cell>
        </row>
        <row r="37">
          <cell r="A37">
            <v>5</v>
          </cell>
          <cell r="B37" t="str">
            <v>RA209</v>
          </cell>
          <cell r="C37" t="str">
            <v>Autres produits agricoles</v>
          </cell>
          <cell r="D37" t="str">
            <v>RA209</v>
          </cell>
          <cell r="E37" t="str">
            <v>Other agricultural products</v>
          </cell>
        </row>
        <row r="38">
          <cell r="A38">
            <v>5</v>
          </cell>
          <cell r="B38" t="str">
            <v>RA300</v>
          </cell>
          <cell r="C38" t="str">
            <v>Produits de l'elevage et chasse</v>
          </cell>
          <cell r="D38" t="str">
            <v>RA300</v>
          </cell>
          <cell r="E38" t="str">
            <v>Livestock and hunting products</v>
          </cell>
        </row>
        <row r="39">
          <cell r="A39">
            <v>5</v>
          </cell>
          <cell r="B39" t="str">
            <v>RA400</v>
          </cell>
          <cell r="C39" t="str">
            <v>Forestry products</v>
          </cell>
          <cell r="D39" t="str">
            <v>RA400</v>
          </cell>
          <cell r="E39" t="str">
            <v>Forestry products</v>
          </cell>
        </row>
        <row r="40">
          <cell r="A40">
            <v>5</v>
          </cell>
          <cell r="B40" t="str">
            <v>RA500</v>
          </cell>
          <cell r="C40" t="str">
            <v>Produits de la pêche</v>
          </cell>
          <cell r="D40" t="str">
            <v>RA500</v>
          </cell>
          <cell r="E40" t="str">
            <v>Fishery products</v>
          </cell>
        </row>
        <row r="41">
          <cell r="A41">
            <v>5</v>
          </cell>
          <cell r="B41" t="str">
            <v>RB100</v>
          </cell>
          <cell r="C41" t="str">
            <v xml:space="preserve">Produits d'extraction </v>
          </cell>
          <cell r="D41" t="str">
            <v>RB100</v>
          </cell>
          <cell r="E41" t="str">
            <v>Mining products</v>
          </cell>
        </row>
        <row r="42">
          <cell r="A42">
            <v>5</v>
          </cell>
          <cell r="B42" t="str">
            <v>RB201</v>
          </cell>
          <cell r="C42" t="str">
            <v>Produits de Abattages,transformations et conserves de viande</v>
          </cell>
          <cell r="D42" t="str">
            <v>RB201</v>
          </cell>
          <cell r="E42" t="str">
            <v>Meat and meat products</v>
          </cell>
        </row>
        <row r="43">
          <cell r="A43">
            <v>5</v>
          </cell>
          <cell r="B43" t="str">
            <v>RB202</v>
          </cell>
          <cell r="C43" t="str">
            <v>Produits deTransformation et conserves des poissons</v>
          </cell>
          <cell r="D43" t="str">
            <v>RB202</v>
          </cell>
          <cell r="E43" t="str">
            <v>Prepared and preserved fish</v>
          </cell>
        </row>
        <row r="44">
          <cell r="A44">
            <v>5</v>
          </cell>
          <cell r="B44" t="str">
            <v>RB203</v>
          </cell>
          <cell r="C44" t="str">
            <v>Produits deTransformation et conservation des fruits et légumes</v>
          </cell>
          <cell r="D44" t="str">
            <v>RB203</v>
          </cell>
          <cell r="E44" t="str">
            <v>Prepared and preserved vegetables</v>
          </cell>
        </row>
        <row r="45">
          <cell r="A45">
            <v>5</v>
          </cell>
          <cell r="B45" t="str">
            <v>RB204</v>
          </cell>
          <cell r="C45" t="str">
            <v>Huiles et oléagineux</v>
          </cell>
          <cell r="D45" t="str">
            <v>RB204</v>
          </cell>
          <cell r="E45" t="str">
            <v>Animal and vegetable oils and fats</v>
          </cell>
        </row>
        <row r="46">
          <cell r="A46">
            <v>5</v>
          </cell>
          <cell r="B46" t="str">
            <v>RB205</v>
          </cell>
          <cell r="C46" t="str">
            <v>Produits laitiers</v>
          </cell>
          <cell r="D46" t="str">
            <v>RB205</v>
          </cell>
          <cell r="E46" t="str">
            <v>Dairy products</v>
          </cell>
        </row>
        <row r="47">
          <cell r="A47">
            <v>5</v>
          </cell>
          <cell r="B47" t="str">
            <v>RB206</v>
          </cell>
          <cell r="C47" t="str">
            <v>Produits detravail des grains et farines</v>
          </cell>
          <cell r="D47" t="str">
            <v>RB206</v>
          </cell>
          <cell r="E47" t="str">
            <v>Grain mill products</v>
          </cell>
        </row>
        <row r="48">
          <cell r="A48">
            <v>5</v>
          </cell>
          <cell r="B48" t="str">
            <v>RB209</v>
          </cell>
          <cell r="C48" t="str">
            <v xml:space="preserve">Produits de Autres industries agroalimentaires </v>
          </cell>
          <cell r="D48" t="str">
            <v>RB209</v>
          </cell>
          <cell r="E48" t="str">
            <v>Other manufactured food products</v>
          </cell>
        </row>
        <row r="49">
          <cell r="A49">
            <v>5</v>
          </cell>
          <cell r="B49" t="str">
            <v>RB301</v>
          </cell>
          <cell r="C49" t="str">
            <v>Boissons alcoolisées</v>
          </cell>
          <cell r="D49" t="str">
            <v>RB301</v>
          </cell>
          <cell r="E49" t="str">
            <v>Alcoholic drinks</v>
          </cell>
        </row>
        <row r="50">
          <cell r="A50">
            <v>5</v>
          </cell>
          <cell r="B50" t="str">
            <v>RB302</v>
          </cell>
          <cell r="C50" t="str">
            <v>Boissons non alcoolisées</v>
          </cell>
          <cell r="D50" t="str">
            <v>RB302</v>
          </cell>
          <cell r="E50" t="str">
            <v>Soft drinks</v>
          </cell>
        </row>
        <row r="51">
          <cell r="A51">
            <v>5</v>
          </cell>
          <cell r="B51" t="str">
            <v>RB303</v>
          </cell>
          <cell r="C51" t="str">
            <v>Produits de l'industrie duTabac</v>
          </cell>
          <cell r="D51" t="str">
            <v>RB303</v>
          </cell>
          <cell r="E51" t="str">
            <v>Tobacco products</v>
          </cell>
        </row>
        <row r="52">
          <cell r="A52">
            <v>5</v>
          </cell>
          <cell r="B52" t="str">
            <v>RB401</v>
          </cell>
          <cell r="C52" t="str">
            <v>Produits de textile et de cuir</v>
          </cell>
          <cell r="D52" t="str">
            <v>RB401</v>
          </cell>
          <cell r="E52" t="str">
            <v>Textile and leather products</v>
          </cell>
        </row>
        <row r="53">
          <cell r="A53">
            <v>5</v>
          </cell>
          <cell r="B53" t="str">
            <v>RB402</v>
          </cell>
          <cell r="C53" t="str">
            <v xml:space="preserve">Articles en bois, papier, et d'imprimerie; édition </v>
          </cell>
          <cell r="D53" t="str">
            <v>RB402</v>
          </cell>
          <cell r="E53" t="str">
            <v>Wood, paper, printing and publishing products</v>
          </cell>
        </row>
        <row r="54">
          <cell r="A54">
            <v>5</v>
          </cell>
          <cell r="B54" t="str">
            <v>RB403</v>
          </cell>
          <cell r="C54" t="str">
            <v>Produits  petroliers</v>
          </cell>
          <cell r="D54" t="str">
            <v>RB403</v>
          </cell>
          <cell r="E54" t="str">
            <v>Petroleum products</v>
          </cell>
        </row>
        <row r="55">
          <cell r="A55">
            <v>5</v>
          </cell>
          <cell r="B55" t="str">
            <v>RB404</v>
          </cell>
          <cell r="C55" t="str">
            <v>Produits chimiques, en caoutchouc, plastique</v>
          </cell>
          <cell r="D55" t="str">
            <v>RB404</v>
          </cell>
          <cell r="E55" t="str">
            <v>Chemical, rubber and plastic products</v>
          </cell>
        </row>
        <row r="56">
          <cell r="A56">
            <v>5</v>
          </cell>
          <cell r="B56" t="str">
            <v>RB405</v>
          </cell>
          <cell r="C56" t="str">
            <v>Verres,poteries et matériaux pour la construction</v>
          </cell>
          <cell r="D56" t="str">
            <v>RB405</v>
          </cell>
          <cell r="E56" t="str">
            <v>Glass, ceramics and mineral construction goods</v>
          </cell>
        </row>
        <row r="57">
          <cell r="A57">
            <v>5</v>
          </cell>
          <cell r="B57" t="str">
            <v>RB406</v>
          </cell>
          <cell r="C57" t="str">
            <v>Produits de métallurgie,fonderie et d'ouvrages en métaux</v>
          </cell>
          <cell r="D57" t="str">
            <v>RB406</v>
          </cell>
          <cell r="E57" t="str">
            <v>Metals and metal products</v>
          </cell>
        </row>
        <row r="58">
          <cell r="A58">
            <v>5</v>
          </cell>
          <cell r="B58" t="str">
            <v>RB407</v>
          </cell>
          <cell r="C58" t="str">
            <v>Machines et matériels électriques</v>
          </cell>
          <cell r="D58" t="str">
            <v>RB407</v>
          </cell>
          <cell r="E58" t="str">
            <v>Machinery and equipment</v>
          </cell>
        </row>
        <row r="59">
          <cell r="A59">
            <v>5</v>
          </cell>
          <cell r="B59" t="str">
            <v>RB409</v>
          </cell>
          <cell r="C59" t="str">
            <v>Produits de Autres activités manufacturières et récupération</v>
          </cell>
          <cell r="D59" t="str">
            <v>RB409</v>
          </cell>
          <cell r="E59" t="str">
            <v>Other manufactured products</v>
          </cell>
        </row>
        <row r="60">
          <cell r="A60">
            <v>5</v>
          </cell>
          <cell r="B60" t="str">
            <v>RB501</v>
          </cell>
          <cell r="C60" t="str">
            <v>Electricité</v>
          </cell>
          <cell r="D60" t="str">
            <v>RB501</v>
          </cell>
          <cell r="E60" t="str">
            <v>Electricity</v>
          </cell>
        </row>
        <row r="61">
          <cell r="A61">
            <v>5</v>
          </cell>
          <cell r="B61" t="str">
            <v>RB502</v>
          </cell>
          <cell r="C61" t="str">
            <v>Produits de Captage,traitement et distribution d'eau</v>
          </cell>
          <cell r="D61" t="str">
            <v>RB502</v>
          </cell>
          <cell r="E61" t="str">
            <v>Water supply and distribution</v>
          </cell>
        </row>
        <row r="62">
          <cell r="A62">
            <v>5</v>
          </cell>
          <cell r="B62" t="str">
            <v>RB600</v>
          </cell>
          <cell r="C62" t="str">
            <v>Produits des travaux de construction</v>
          </cell>
          <cell r="D62" t="str">
            <v>RB600</v>
          </cell>
          <cell r="E62" t="str">
            <v>Construction</v>
          </cell>
        </row>
        <row r="63">
          <cell r="A63">
            <v>5</v>
          </cell>
          <cell r="B63" t="str">
            <v>RC101</v>
          </cell>
          <cell r="C63" t="str">
            <v xml:space="preserve">Commerce </v>
          </cell>
          <cell r="D63" t="str">
            <v>RC101</v>
          </cell>
          <cell r="E63" t="str">
            <v>Wholesale &amp; retail trade</v>
          </cell>
        </row>
        <row r="64">
          <cell r="A64">
            <v>5</v>
          </cell>
          <cell r="B64" t="str">
            <v>RC102</v>
          </cell>
          <cell r="C64" t="str">
            <v>Services de réparation</v>
          </cell>
          <cell r="D64" t="str">
            <v>RC102</v>
          </cell>
          <cell r="E64" t="str">
            <v>Repairs</v>
          </cell>
        </row>
        <row r="65">
          <cell r="A65">
            <v>5</v>
          </cell>
          <cell r="B65" t="str">
            <v>RC200</v>
          </cell>
          <cell r="C65" t="str">
            <v>Hotels et restaurants</v>
          </cell>
          <cell r="D65" t="str">
            <v>RC200</v>
          </cell>
          <cell r="E65" t="str">
            <v>Hotels &amp; restaurants</v>
          </cell>
        </row>
        <row r="66">
          <cell r="A66">
            <v>5</v>
          </cell>
          <cell r="B66" t="str">
            <v>RC301</v>
          </cell>
          <cell r="C66" t="str">
            <v>Transport terrestre</v>
          </cell>
          <cell r="D66" t="str">
            <v>RC301</v>
          </cell>
          <cell r="E66" t="str">
            <v>Land transport</v>
          </cell>
        </row>
        <row r="67">
          <cell r="A67">
            <v>5</v>
          </cell>
          <cell r="B67" t="str">
            <v>RC302</v>
          </cell>
          <cell r="C67" t="str">
            <v>Transport aérien</v>
          </cell>
          <cell r="D67" t="str">
            <v>RC302</v>
          </cell>
          <cell r="E67" t="str">
            <v>Air transport</v>
          </cell>
        </row>
        <row r="68">
          <cell r="A68">
            <v>5</v>
          </cell>
          <cell r="B68" t="str">
            <v>RC303</v>
          </cell>
          <cell r="C68" t="str">
            <v>Les services annexes au transport</v>
          </cell>
          <cell r="D68" t="str">
            <v>RC303</v>
          </cell>
          <cell r="E68" t="str">
            <v xml:space="preserve">Services related to transport </v>
          </cell>
        </row>
        <row r="69">
          <cell r="A69">
            <v>5</v>
          </cell>
          <cell r="B69" t="str">
            <v>RC304</v>
          </cell>
          <cell r="C69" t="str">
            <v>Services des postes</v>
          </cell>
          <cell r="D69" t="str">
            <v>RC304</v>
          </cell>
          <cell r="E69" t="str">
            <v>Postal services</v>
          </cell>
        </row>
        <row r="70">
          <cell r="A70">
            <v>5</v>
          </cell>
          <cell r="B70" t="str">
            <v>RC305</v>
          </cell>
          <cell r="C70" t="str">
            <v>Services de télécommunications</v>
          </cell>
          <cell r="D70" t="str">
            <v>RC305</v>
          </cell>
          <cell r="E70" t="str">
            <v>Telecommunication</v>
          </cell>
        </row>
        <row r="71">
          <cell r="A71">
            <v>5</v>
          </cell>
          <cell r="B71" t="str">
            <v>RC401</v>
          </cell>
          <cell r="C71" t="str">
            <v>Services d'intermédiation monétaire(BNR)</v>
          </cell>
          <cell r="D71" t="str">
            <v>RC401</v>
          </cell>
          <cell r="E71" t="str">
            <v>Central Bank</v>
          </cell>
        </row>
        <row r="72">
          <cell r="A72">
            <v>5</v>
          </cell>
          <cell r="B72" t="str">
            <v>RC402</v>
          </cell>
          <cell r="C72" t="str">
            <v>Services d'intermédiation financières et auxiliaires financiers</v>
          </cell>
          <cell r="D72" t="str">
            <v>RC402</v>
          </cell>
          <cell r="E72" t="str">
            <v>Banking and related services</v>
          </cell>
        </row>
        <row r="73">
          <cell r="A73">
            <v>5</v>
          </cell>
          <cell r="B73" t="str">
            <v>RC403</v>
          </cell>
          <cell r="C73" t="str">
            <v>Services d'assurances et auxiliaires d'assurance</v>
          </cell>
          <cell r="D73" t="str">
            <v>RC403</v>
          </cell>
          <cell r="E73" t="str">
            <v>Insurance and related services</v>
          </cell>
        </row>
        <row r="74">
          <cell r="A74">
            <v>5</v>
          </cell>
          <cell r="B74" t="str">
            <v>RC501</v>
          </cell>
          <cell r="C74" t="str">
            <v>Services immobiliers et gestion immobilière</v>
          </cell>
          <cell r="D74" t="str">
            <v>RC501</v>
          </cell>
          <cell r="E74" t="str">
            <v>Real estate</v>
          </cell>
        </row>
        <row r="75">
          <cell r="A75">
            <v>5</v>
          </cell>
          <cell r="B75" t="str">
            <v>RC502</v>
          </cell>
          <cell r="C75" t="str">
            <v>Services informatiques et annexes</v>
          </cell>
          <cell r="D75" t="str">
            <v>RC502</v>
          </cell>
          <cell r="E75" t="str">
            <v>Information technology services</v>
          </cell>
        </row>
        <row r="76">
          <cell r="A76">
            <v>5</v>
          </cell>
          <cell r="B76" t="str">
            <v>RC509</v>
          </cell>
          <cell r="C76" t="str">
            <v>Autres services marchands</v>
          </cell>
          <cell r="D76" t="str">
            <v>RC509</v>
          </cell>
          <cell r="E76" t="str">
            <v>Other business services</v>
          </cell>
        </row>
        <row r="77">
          <cell r="A77">
            <v>5</v>
          </cell>
          <cell r="B77" t="str">
            <v>RC600</v>
          </cell>
          <cell r="C77" t="str">
            <v xml:space="preserve">Services d'administration publique </v>
          </cell>
          <cell r="D77" t="str">
            <v>RC600</v>
          </cell>
          <cell r="E77" t="str">
            <v>Public administration</v>
          </cell>
        </row>
        <row r="78">
          <cell r="A78">
            <v>5</v>
          </cell>
          <cell r="B78" t="str">
            <v>RC700</v>
          </cell>
          <cell r="C78" t="str">
            <v>Services d'éducation</v>
          </cell>
          <cell r="D78" t="str">
            <v>RC700</v>
          </cell>
          <cell r="E78" t="str">
            <v>Education</v>
          </cell>
        </row>
        <row r="79">
          <cell r="A79">
            <v>5</v>
          </cell>
          <cell r="B79" t="str">
            <v>RC801</v>
          </cell>
          <cell r="C79" t="str">
            <v xml:space="preserve">Services de santé humaine </v>
          </cell>
          <cell r="D79" t="str">
            <v>RC801</v>
          </cell>
          <cell r="E79" t="str">
            <v>Human health services</v>
          </cell>
        </row>
        <row r="80">
          <cell r="A80">
            <v>5</v>
          </cell>
          <cell r="B80" t="str">
            <v>RC802</v>
          </cell>
          <cell r="C80" t="str">
            <v>Services vétérinaires</v>
          </cell>
          <cell r="D80" t="str">
            <v>RC802</v>
          </cell>
          <cell r="E80" t="str">
            <v>Veterinary services</v>
          </cell>
        </row>
        <row r="81">
          <cell r="A81">
            <v>5</v>
          </cell>
          <cell r="B81" t="str">
            <v>RC901</v>
          </cell>
          <cell r="C81" t="str">
            <v>ACTIVITES A CARACTERE COLLECTIF OU PERSONNEL</v>
          </cell>
          <cell r="D81" t="str">
            <v>RC901</v>
          </cell>
          <cell r="E81" t="str">
            <v>Personal and community services</v>
          </cell>
        </row>
        <row r="82">
          <cell r="A82">
            <v>5</v>
          </cell>
          <cell r="B82" t="str">
            <v>RC902</v>
          </cell>
          <cell r="C82" t="str">
            <v>PERSONNEL DOMESTIQUE</v>
          </cell>
          <cell r="D82" t="str">
            <v>RC902</v>
          </cell>
          <cell r="E82" t="str">
            <v>Domestic services</v>
          </cell>
        </row>
        <row r="83">
          <cell r="A83">
            <v>5</v>
          </cell>
          <cell r="B83" t="str">
            <v>RD001</v>
          </cell>
          <cell r="C83" t="str">
            <v>Corrections territoriale</v>
          </cell>
          <cell r="D83" t="str">
            <v>RD001</v>
          </cell>
          <cell r="E83" t="str">
            <v>Travel debits &amp; credits</v>
          </cell>
        </row>
        <row r="84">
          <cell r="A84">
            <v>5</v>
          </cell>
          <cell r="B84" t="str">
            <v>RD002</v>
          </cell>
          <cell r="C84" t="str">
            <v>SIFIM</v>
          </cell>
          <cell r="D84" t="str">
            <v>RD002</v>
          </cell>
          <cell r="E84" t="str">
            <v>FISIM</v>
          </cell>
        </row>
        <row r="85">
          <cell r="A85">
            <v>5</v>
          </cell>
          <cell r="B85" t="str">
            <v>RD003</v>
          </cell>
          <cell r="C85" t="str">
            <v>Produits en attentes</v>
          </cell>
          <cell r="D85" t="str">
            <v>RD003</v>
          </cell>
          <cell r="E85" t="str">
            <v>Unallocated products</v>
          </cell>
        </row>
        <row r="86">
          <cell r="A86">
            <v>7</v>
          </cell>
          <cell r="B86" t="str">
            <v>RA101-1</v>
          </cell>
          <cell r="C86" t="str">
            <v>Sorgho</v>
          </cell>
          <cell r="D86" t="str">
            <v>RA101-1</v>
          </cell>
          <cell r="E86" t="str">
            <v>Sorghum</v>
          </cell>
        </row>
        <row r="87">
          <cell r="A87">
            <v>7</v>
          </cell>
          <cell r="B87" t="str">
            <v>RA101-2</v>
          </cell>
          <cell r="C87" t="str">
            <v>Mais</v>
          </cell>
          <cell r="D87" t="str">
            <v>RA101-2</v>
          </cell>
          <cell r="E87" t="str">
            <v>Maize</v>
          </cell>
        </row>
        <row r="88">
          <cell r="A88">
            <v>7</v>
          </cell>
          <cell r="B88" t="str">
            <v>RA101-3</v>
          </cell>
          <cell r="C88" t="str">
            <v>Blé</v>
          </cell>
          <cell r="D88" t="str">
            <v>RA101-3</v>
          </cell>
          <cell r="E88" t="str">
            <v>Wheat</v>
          </cell>
        </row>
        <row r="89">
          <cell r="A89">
            <v>7</v>
          </cell>
          <cell r="B89" t="str">
            <v>RA101-4</v>
          </cell>
          <cell r="C89" t="str">
            <v>Riz, paddy</v>
          </cell>
          <cell r="D89" t="str">
            <v>RA101-4</v>
          </cell>
          <cell r="E89" t="str">
            <v>Paddy</v>
          </cell>
        </row>
        <row r="90">
          <cell r="A90">
            <v>7</v>
          </cell>
          <cell r="B90" t="str">
            <v>RA101-5</v>
          </cell>
          <cell r="C90" t="str">
            <v>Riz décortiqué</v>
          </cell>
          <cell r="D90" t="str">
            <v>RA101-5</v>
          </cell>
          <cell r="E90" t="str">
            <v>Husked rice</v>
          </cell>
        </row>
        <row r="91">
          <cell r="A91">
            <v>7</v>
          </cell>
          <cell r="B91" t="str">
            <v>RA101-9</v>
          </cell>
          <cell r="C91" t="str">
            <v>Autres céréales</v>
          </cell>
          <cell r="D91" t="str">
            <v>RA101-9</v>
          </cell>
          <cell r="E91" t="str">
            <v>Other cereals</v>
          </cell>
        </row>
        <row r="92">
          <cell r="A92">
            <v>7</v>
          </cell>
          <cell r="B92" t="str">
            <v>RA102-1</v>
          </cell>
          <cell r="C92" t="str">
            <v xml:space="preserve">Pomme de terre </v>
          </cell>
          <cell r="D92" t="str">
            <v>RA102-1</v>
          </cell>
          <cell r="E92" t="str">
            <v>Irish potatoes</v>
          </cell>
        </row>
        <row r="93">
          <cell r="A93">
            <v>7</v>
          </cell>
          <cell r="B93" t="str">
            <v>RA102-2</v>
          </cell>
          <cell r="C93" t="str">
            <v>Patates douces</v>
          </cell>
          <cell r="D93" t="str">
            <v>RA102-2</v>
          </cell>
          <cell r="E93" t="str">
            <v>Sweet potatoes</v>
          </cell>
        </row>
        <row r="94">
          <cell r="A94">
            <v>7</v>
          </cell>
          <cell r="B94" t="str">
            <v>RA102-3</v>
          </cell>
          <cell r="C94" t="str">
            <v xml:space="preserve">Manioc </v>
          </cell>
          <cell r="D94" t="str">
            <v>RA102-3</v>
          </cell>
          <cell r="E94" t="str">
            <v>Cassava</v>
          </cell>
        </row>
        <row r="95">
          <cell r="A95">
            <v>7</v>
          </cell>
          <cell r="B95" t="str">
            <v>RA102-9</v>
          </cell>
          <cell r="C95" t="str">
            <v>Autres racines et tubercules</v>
          </cell>
          <cell r="D95" t="str">
            <v>RA102-9</v>
          </cell>
          <cell r="E95" t="str">
            <v>Other roots and tubers</v>
          </cell>
        </row>
        <row r="96">
          <cell r="A96">
            <v>7</v>
          </cell>
          <cell r="B96" t="str">
            <v>RA103-1</v>
          </cell>
          <cell r="C96" t="str">
            <v>Haricots sec</v>
          </cell>
          <cell r="D96" t="str">
            <v>RA103-1</v>
          </cell>
          <cell r="E96" t="str">
            <v xml:space="preserve">Dried Beans </v>
          </cell>
        </row>
        <row r="97">
          <cell r="A97">
            <v>7</v>
          </cell>
          <cell r="B97" t="str">
            <v>RA103-2</v>
          </cell>
          <cell r="C97" t="str">
            <v>Petit pois et autres legumineuses</v>
          </cell>
          <cell r="D97" t="str">
            <v>RA103-2</v>
          </cell>
          <cell r="E97" t="str">
            <v>Peas &amp; other legumes</v>
          </cell>
        </row>
        <row r="98">
          <cell r="A98">
            <v>7</v>
          </cell>
          <cell r="B98" t="str">
            <v>RA103-9</v>
          </cell>
          <cell r="C98" t="str">
            <v>Autres legumes</v>
          </cell>
          <cell r="D98" t="str">
            <v>RA103-9</v>
          </cell>
          <cell r="E98" t="str">
            <v>Other vegetables</v>
          </cell>
        </row>
        <row r="99">
          <cell r="A99">
            <v>7</v>
          </cell>
          <cell r="B99" t="str">
            <v>RA104-1</v>
          </cell>
          <cell r="C99" t="str">
            <v>Banane plantin - biere</v>
          </cell>
          <cell r="D99" t="str">
            <v>RA104-1</v>
          </cell>
          <cell r="E99" t="str">
            <v>Bananas for beer</v>
          </cell>
        </row>
        <row r="100">
          <cell r="A100">
            <v>7</v>
          </cell>
          <cell r="B100" t="str">
            <v>RA104-2</v>
          </cell>
          <cell r="C100" t="str">
            <v>Banane plantin - cuire</v>
          </cell>
          <cell r="D100" t="str">
            <v>RA104-2</v>
          </cell>
          <cell r="E100" t="str">
            <v>Bananas for cooking</v>
          </cell>
        </row>
        <row r="101">
          <cell r="A101">
            <v>7</v>
          </cell>
          <cell r="B101" t="str">
            <v>RA104-3</v>
          </cell>
          <cell r="C101" t="str">
            <v>Banane douce</v>
          </cell>
          <cell r="D101" t="str">
            <v>RA104-3</v>
          </cell>
          <cell r="E101" t="str">
            <v>Bananas (sweet)</v>
          </cell>
        </row>
        <row r="102">
          <cell r="A102">
            <v>7</v>
          </cell>
          <cell r="B102" t="str">
            <v>RA104-9</v>
          </cell>
          <cell r="C102" t="str">
            <v>Autres fruits et noix</v>
          </cell>
          <cell r="D102" t="str">
            <v>RA104-9</v>
          </cell>
          <cell r="E102" t="str">
            <v>Other fruit and nuts</v>
          </cell>
        </row>
        <row r="103">
          <cell r="A103">
            <v>7</v>
          </cell>
          <cell r="B103" t="str">
            <v>RA105-1</v>
          </cell>
          <cell r="C103" t="str">
            <v>Arachides</v>
          </cell>
          <cell r="D103" t="str">
            <v>RA105-1</v>
          </cell>
          <cell r="E103" t="str">
            <v>Ground nuts</v>
          </cell>
        </row>
        <row r="104">
          <cell r="A104">
            <v>7</v>
          </cell>
          <cell r="B104" t="str">
            <v>RA105-2</v>
          </cell>
          <cell r="C104" t="str">
            <v>Soja</v>
          </cell>
          <cell r="D104" t="str">
            <v>RA105-2</v>
          </cell>
          <cell r="E104" t="str">
            <v>Soya</v>
          </cell>
        </row>
        <row r="105">
          <cell r="A105">
            <v>7</v>
          </cell>
          <cell r="B105" t="str">
            <v>RA201-0</v>
          </cell>
          <cell r="C105" t="str">
            <v xml:space="preserve">Café cerise </v>
          </cell>
          <cell r="D105" t="str">
            <v>RA201-0</v>
          </cell>
          <cell r="E105" t="str">
            <v>Raw coffee</v>
          </cell>
        </row>
        <row r="106">
          <cell r="A106">
            <v>7</v>
          </cell>
          <cell r="B106" t="str">
            <v>RA202-0</v>
          </cell>
          <cell r="C106" t="str">
            <v>Café décortiqué ou vert (non preparé, non décaféiné)</v>
          </cell>
          <cell r="D106" t="str">
            <v>RA202-0</v>
          </cell>
          <cell r="E106" t="str">
            <v>Coffee, not roasted, not decaffeinated</v>
          </cell>
        </row>
        <row r="107">
          <cell r="A107">
            <v>7</v>
          </cell>
          <cell r="B107" t="str">
            <v>RA203-0</v>
          </cell>
          <cell r="C107" t="str">
            <v>Thé (feuille verte)</v>
          </cell>
          <cell r="D107" t="str">
            <v>RA203-0</v>
          </cell>
          <cell r="E107" t="str">
            <v>Tea (unprocessed green leaf)</v>
          </cell>
        </row>
        <row r="108">
          <cell r="A108">
            <v>7</v>
          </cell>
          <cell r="B108" t="str">
            <v>RA209-1</v>
          </cell>
          <cell r="C108" t="str">
            <v>Tabac brut</v>
          </cell>
          <cell r="D108" t="str">
            <v>RA209-1</v>
          </cell>
          <cell r="E108" t="str">
            <v>Tobacco, raw</v>
          </cell>
        </row>
        <row r="109">
          <cell r="A109">
            <v>7</v>
          </cell>
          <cell r="B109" t="str">
            <v>RA209-2</v>
          </cell>
          <cell r="C109" t="str">
            <v>Canne à sucre</v>
          </cell>
          <cell r="D109" t="str">
            <v>RA209-2</v>
          </cell>
          <cell r="E109" t="str">
            <v>Sugar cane</v>
          </cell>
        </row>
        <row r="110">
          <cell r="A110">
            <v>7</v>
          </cell>
          <cell r="B110" t="str">
            <v>RA209-3</v>
          </cell>
          <cell r="C110" t="str">
            <v>Suc de pyréthre</v>
          </cell>
          <cell r="D110" t="str">
            <v>RA209-3</v>
          </cell>
          <cell r="E110" t="str">
            <v>Pyrethrum</v>
          </cell>
        </row>
        <row r="111">
          <cell r="A111">
            <v>7</v>
          </cell>
          <cell r="B111" t="str">
            <v>RA209-9</v>
          </cell>
          <cell r="C111" t="str">
            <v>Autres produits agricoles</v>
          </cell>
          <cell r="D111" t="str">
            <v>RA209-9</v>
          </cell>
          <cell r="E111" t="str">
            <v>Agricultural products n.e.c.</v>
          </cell>
        </row>
        <row r="112">
          <cell r="A112">
            <v>7</v>
          </cell>
          <cell r="B112" t="str">
            <v>RA300-1</v>
          </cell>
          <cell r="C112" t="str">
            <v>Bovins sur pied</v>
          </cell>
          <cell r="D112" t="str">
            <v>RA300-1</v>
          </cell>
          <cell r="E112" t="str">
            <v>Bovine cattle, live</v>
          </cell>
        </row>
        <row r="113">
          <cell r="A113">
            <v>7</v>
          </cell>
          <cell r="B113" t="str">
            <v>RA300-2</v>
          </cell>
          <cell r="C113" t="str">
            <v>Moutons, chevres, porcs sur pied</v>
          </cell>
          <cell r="D113" t="str">
            <v>RA300-2</v>
          </cell>
          <cell r="E113" t="str">
            <v>Sheep, goats, pig ,live</v>
          </cell>
        </row>
        <row r="114">
          <cell r="A114">
            <v>7</v>
          </cell>
          <cell r="B114" t="str">
            <v>RA300-3</v>
          </cell>
          <cell r="C114" t="str">
            <v>Volaille</v>
          </cell>
          <cell r="D114" t="str">
            <v>RA300-3</v>
          </cell>
          <cell r="E114" t="str">
            <v>Poultry, live</v>
          </cell>
        </row>
        <row r="115">
          <cell r="A115">
            <v>7</v>
          </cell>
          <cell r="B115" t="str">
            <v>RA300-4</v>
          </cell>
          <cell r="C115" t="str">
            <v>Lapins et autres animaux vivants</v>
          </cell>
          <cell r="D115" t="str">
            <v>RA300-4</v>
          </cell>
          <cell r="E115" t="str">
            <v>Rabbit and Other live animals</v>
          </cell>
        </row>
        <row r="116">
          <cell r="A116">
            <v>7</v>
          </cell>
          <cell r="B116" t="str">
            <v>RA300-5</v>
          </cell>
          <cell r="C116" t="str">
            <v>Lait brut</v>
          </cell>
          <cell r="D116" t="str">
            <v>RA300-5</v>
          </cell>
          <cell r="E116" t="str">
            <v>Raw milk</v>
          </cell>
        </row>
        <row r="117">
          <cell r="A117">
            <v>7</v>
          </cell>
          <cell r="B117" t="str">
            <v>RA300-6</v>
          </cell>
          <cell r="C117" t="str">
            <v>Oeuf</v>
          </cell>
          <cell r="D117" t="str">
            <v>RA300-6</v>
          </cell>
          <cell r="E117" t="str">
            <v>Eggs</v>
          </cell>
        </row>
        <row r="118">
          <cell r="A118">
            <v>7</v>
          </cell>
          <cell r="B118" t="str">
            <v>RA300-7</v>
          </cell>
          <cell r="C118" t="str">
            <v>Miel</v>
          </cell>
          <cell r="D118" t="str">
            <v>RA300-7</v>
          </cell>
          <cell r="E118" t="str">
            <v>Natural honey</v>
          </cell>
        </row>
        <row r="119">
          <cell r="A119">
            <v>7</v>
          </cell>
          <cell r="B119" t="str">
            <v>RA300-9</v>
          </cell>
          <cell r="C119" t="str">
            <v>Autres produits de l'élevage et de la chasse (peaux brutes)</v>
          </cell>
          <cell r="D119" t="str">
            <v>RA300-9</v>
          </cell>
          <cell r="E119" t="str">
            <v>Other livestock &amp; hunting products</v>
          </cell>
        </row>
        <row r="120">
          <cell r="A120">
            <v>7</v>
          </cell>
          <cell r="B120" t="str">
            <v>RA400-1</v>
          </cell>
          <cell r="C120" t="str">
            <v>Bois de chauffe</v>
          </cell>
          <cell r="D120" t="str">
            <v>RA400-1</v>
          </cell>
          <cell r="E120" t="str">
            <v>Fuel wood</v>
          </cell>
        </row>
        <row r="121">
          <cell r="A121">
            <v>7</v>
          </cell>
          <cell r="B121" t="str">
            <v>RA400-2</v>
          </cell>
          <cell r="C121" t="str">
            <v>Charbon de bois</v>
          </cell>
          <cell r="D121" t="str">
            <v>RA400-2</v>
          </cell>
          <cell r="E121" t="str">
            <v>Charcoal</v>
          </cell>
        </row>
        <row r="122">
          <cell r="A122">
            <v>7</v>
          </cell>
          <cell r="B122" t="str">
            <v>RA400-9</v>
          </cell>
          <cell r="C122" t="str">
            <v>Bois d'œuvre et autres produits forestiers</v>
          </cell>
          <cell r="D122" t="str">
            <v>RA400-9</v>
          </cell>
          <cell r="E122" t="str">
            <v>Other forestry products</v>
          </cell>
        </row>
        <row r="123">
          <cell r="A123">
            <v>7</v>
          </cell>
          <cell r="B123" t="str">
            <v>RA500-0</v>
          </cell>
          <cell r="C123" t="str">
            <v>Produits de la pêche</v>
          </cell>
          <cell r="D123" t="str">
            <v>RA500-0</v>
          </cell>
          <cell r="E123" t="str">
            <v>Fishery products</v>
          </cell>
        </row>
        <row r="124">
          <cell r="A124">
            <v>7</v>
          </cell>
          <cell r="B124" t="str">
            <v>RB100-1</v>
          </cell>
          <cell r="C124" t="str">
            <v>Cassiterite</v>
          </cell>
          <cell r="D124" t="str">
            <v>RB100-1</v>
          </cell>
          <cell r="E124" t="str">
            <v>Cassiterite</v>
          </cell>
        </row>
        <row r="125">
          <cell r="A125">
            <v>7</v>
          </cell>
          <cell r="B125" t="str">
            <v>RB100-2</v>
          </cell>
          <cell r="C125" t="str">
            <v>Colombo-tentalité</v>
          </cell>
          <cell r="D125" t="str">
            <v>RB100-2</v>
          </cell>
          <cell r="E125" t="str">
            <v>Col-tan</v>
          </cell>
        </row>
        <row r="126">
          <cell r="A126">
            <v>7</v>
          </cell>
          <cell r="B126" t="str">
            <v>RB100-3</v>
          </cell>
          <cell r="C126" t="str">
            <v xml:space="preserve">Wolfram </v>
          </cell>
          <cell r="D126" t="str">
            <v>RB100-3</v>
          </cell>
          <cell r="E126" t="str">
            <v xml:space="preserve">Wolfram </v>
          </cell>
        </row>
        <row r="127">
          <cell r="A127">
            <v>7</v>
          </cell>
          <cell r="B127" t="str">
            <v>RB100-4</v>
          </cell>
          <cell r="C127" t="str">
            <v>Produits de la carriere; sable</v>
          </cell>
          <cell r="D127" t="str">
            <v>RB100-4</v>
          </cell>
          <cell r="E127" t="str">
            <v>Quarry products, sand</v>
          </cell>
        </row>
        <row r="128">
          <cell r="A128">
            <v>7</v>
          </cell>
          <cell r="B128" t="str">
            <v>RB100-5</v>
          </cell>
          <cell r="C128" t="str">
            <v>Gaz naturel</v>
          </cell>
          <cell r="D128" t="str">
            <v>RB100-5</v>
          </cell>
          <cell r="E128" t="str">
            <v>Natural gas</v>
          </cell>
        </row>
        <row r="129">
          <cell r="A129">
            <v>7</v>
          </cell>
          <cell r="B129" t="str">
            <v>RB100-9</v>
          </cell>
          <cell r="C129" t="str">
            <v>Autres produits d'extraction</v>
          </cell>
          <cell r="D129" t="str">
            <v>RB100-9</v>
          </cell>
          <cell r="E129" t="str">
            <v>Other mining products</v>
          </cell>
        </row>
        <row r="130">
          <cell r="A130">
            <v>7</v>
          </cell>
          <cell r="B130" t="str">
            <v>RB201-1</v>
          </cell>
          <cell r="C130" t="str">
            <v>Viande de Boeuf</v>
          </cell>
          <cell r="D130" t="str">
            <v>RB201-1</v>
          </cell>
          <cell r="E130" t="str">
            <v>Beef</v>
          </cell>
        </row>
        <row r="131">
          <cell r="A131">
            <v>7</v>
          </cell>
          <cell r="B131" t="str">
            <v>RB201-2</v>
          </cell>
          <cell r="C131" t="str">
            <v>Viandes,produits à base de viande et produits de l'abattage</v>
          </cell>
          <cell r="D131" t="str">
            <v>RB201-2</v>
          </cell>
          <cell r="E131" t="str">
            <v>Other meat and meat products (not chicken)</v>
          </cell>
        </row>
        <row r="132">
          <cell r="A132">
            <v>7</v>
          </cell>
          <cell r="B132" t="str">
            <v>RB202-0</v>
          </cell>
          <cell r="C132" t="str">
            <v>Poissons et Produits de la pêche préparés, séchés, fumés….</v>
          </cell>
          <cell r="D132" t="str">
            <v>RB202-0</v>
          </cell>
          <cell r="E132" t="str">
            <v>Prepared and preserved fish</v>
          </cell>
        </row>
        <row r="133">
          <cell r="A133">
            <v>7</v>
          </cell>
          <cell r="B133" t="str">
            <v>RB203-1</v>
          </cell>
          <cell r="C133" t="str">
            <v>Concerves de fruit et legumes</v>
          </cell>
          <cell r="D133" t="str">
            <v>RB203-1</v>
          </cell>
          <cell r="E133" t="str">
            <v>Jams</v>
          </cell>
        </row>
        <row r="134">
          <cell r="A134">
            <v>7</v>
          </cell>
          <cell r="B134" t="str">
            <v>RB203-2</v>
          </cell>
          <cell r="C134" t="str">
            <v>Jus de friuts</v>
          </cell>
          <cell r="D134" t="str">
            <v>RB203-2</v>
          </cell>
          <cell r="E134" t="str">
            <v>Fruit juices</v>
          </cell>
        </row>
        <row r="135">
          <cell r="A135">
            <v>7</v>
          </cell>
          <cell r="B135" t="str">
            <v>RB203-9</v>
          </cell>
          <cell r="C135" t="str">
            <v>Autres produits à base de légumes et des fruits</v>
          </cell>
          <cell r="D135" t="str">
            <v>RB203-9</v>
          </cell>
          <cell r="E135" t="str">
            <v>Other prepared and preserved vegetables</v>
          </cell>
        </row>
        <row r="136">
          <cell r="A136">
            <v>7</v>
          </cell>
          <cell r="B136" t="str">
            <v>RB204-0</v>
          </cell>
          <cell r="C136" t="str">
            <v>Huiles et graisses</v>
          </cell>
          <cell r="D136" t="str">
            <v>RB204-0</v>
          </cell>
          <cell r="E136" t="str">
            <v>Animal and vegetable oils and fats</v>
          </cell>
        </row>
        <row r="137">
          <cell r="A137">
            <v>7</v>
          </cell>
          <cell r="B137" t="str">
            <v>RB205-0</v>
          </cell>
          <cell r="C137" t="str">
            <v>Produits laitiers</v>
          </cell>
          <cell r="D137" t="str">
            <v>RB205-0</v>
          </cell>
          <cell r="E137" t="str">
            <v>Dairy products</v>
          </cell>
        </row>
        <row r="138">
          <cell r="A138">
            <v>7</v>
          </cell>
          <cell r="B138" t="str">
            <v>RB206-1</v>
          </cell>
          <cell r="C138" t="str">
            <v>Farines de mais</v>
          </cell>
          <cell r="D138" t="str">
            <v>RB206-1</v>
          </cell>
          <cell r="E138" t="str">
            <v>Maize flour</v>
          </cell>
        </row>
        <row r="139">
          <cell r="A139">
            <v>7</v>
          </cell>
          <cell r="B139" t="str">
            <v>RB206-2</v>
          </cell>
          <cell r="C139" t="str">
            <v>Farines de blé</v>
          </cell>
          <cell r="D139" t="str">
            <v>RB206-2</v>
          </cell>
          <cell r="E139" t="str">
            <v xml:space="preserve">Wheat flour </v>
          </cell>
        </row>
        <row r="140">
          <cell r="A140">
            <v>7</v>
          </cell>
          <cell r="B140" t="str">
            <v>RB206-3</v>
          </cell>
          <cell r="C140" t="str">
            <v>Produits de boulangerie</v>
          </cell>
          <cell r="D140" t="str">
            <v>RB206-3</v>
          </cell>
          <cell r="E140" t="str">
            <v>Bakery products</v>
          </cell>
        </row>
        <row r="141">
          <cell r="A141">
            <v>7</v>
          </cell>
          <cell r="B141" t="str">
            <v>RB206-4</v>
          </cell>
          <cell r="C141" t="str">
            <v>Farine de manioc</v>
          </cell>
          <cell r="D141" t="str">
            <v>RB206-4</v>
          </cell>
          <cell r="E141" t="str">
            <v>Cassava flour</v>
          </cell>
        </row>
        <row r="142">
          <cell r="A142">
            <v>7</v>
          </cell>
          <cell r="B142" t="str">
            <v>RB206-5</v>
          </cell>
          <cell r="C142" t="str">
            <v>Autres farines</v>
          </cell>
          <cell r="D142" t="str">
            <v>RB206-5</v>
          </cell>
          <cell r="E142" t="str">
            <v>Other flours</v>
          </cell>
        </row>
        <row r="143">
          <cell r="A143">
            <v>7</v>
          </cell>
          <cell r="B143" t="str">
            <v>RB206-9</v>
          </cell>
          <cell r="C143" t="str">
            <v>Alimentation aux aminaux, et autres produits</v>
          </cell>
          <cell r="D143" t="str">
            <v>RB206-9</v>
          </cell>
          <cell r="E143" t="str">
            <v>Animal feed &amp; other grain mill products</v>
          </cell>
        </row>
        <row r="144">
          <cell r="A144">
            <v>7</v>
          </cell>
          <cell r="B144" t="str">
            <v>RB209-1</v>
          </cell>
          <cell r="C144" t="str">
            <v>Café transformé</v>
          </cell>
          <cell r="D144" t="str">
            <v>RB209-1</v>
          </cell>
          <cell r="E144" t="str">
            <v>Coffee, decaffeinated or roasted</v>
          </cell>
        </row>
        <row r="145">
          <cell r="A145">
            <v>7</v>
          </cell>
          <cell r="B145" t="str">
            <v>RB209-2</v>
          </cell>
          <cell r="C145" t="str">
            <v>Thé sec (the noir)</v>
          </cell>
          <cell r="D145" t="str">
            <v>RB209-2</v>
          </cell>
          <cell r="E145" t="str">
            <v>Tea, dried</v>
          </cell>
        </row>
        <row r="146">
          <cell r="A146">
            <v>7</v>
          </cell>
          <cell r="B146" t="str">
            <v>RB209-3</v>
          </cell>
          <cell r="C146" t="str">
            <v>Sucre</v>
          </cell>
          <cell r="D146" t="str">
            <v>RB209-3</v>
          </cell>
          <cell r="E146" t="str">
            <v>Sugar</v>
          </cell>
        </row>
        <row r="147">
          <cell r="A147">
            <v>7</v>
          </cell>
          <cell r="B147" t="str">
            <v>RB209-4</v>
          </cell>
          <cell r="C147" t="str">
            <v>Sel de cuisine</v>
          </cell>
          <cell r="D147" t="str">
            <v>RB209-4</v>
          </cell>
          <cell r="E147" t="str">
            <v>Cooking salt</v>
          </cell>
        </row>
        <row r="148">
          <cell r="A148">
            <v>7</v>
          </cell>
          <cell r="B148" t="str">
            <v>RB209-9</v>
          </cell>
          <cell r="C148" t="str">
            <v>Autres produits des industries agroalimentaires</v>
          </cell>
          <cell r="D148" t="str">
            <v>RB209-9</v>
          </cell>
          <cell r="E148" t="str">
            <v>Other food products n.e.c.</v>
          </cell>
        </row>
        <row r="149">
          <cell r="A149">
            <v>7</v>
          </cell>
          <cell r="B149" t="str">
            <v>RB301-1</v>
          </cell>
          <cell r="C149" t="str">
            <v>Bieres de bananes</v>
          </cell>
          <cell r="D149" t="str">
            <v>RB301-1</v>
          </cell>
          <cell r="E149" t="str">
            <v>Banana beer</v>
          </cell>
        </row>
        <row r="150">
          <cell r="A150">
            <v>7</v>
          </cell>
          <cell r="B150" t="str">
            <v>RB301-2</v>
          </cell>
          <cell r="C150" t="str">
            <v>Bieres de sorgho traditionelles</v>
          </cell>
          <cell r="D150" t="str">
            <v>RB301-2</v>
          </cell>
          <cell r="E150" t="str">
            <v>Other traditional beer</v>
          </cell>
        </row>
        <row r="151">
          <cell r="A151">
            <v>7</v>
          </cell>
          <cell r="B151" t="str">
            <v>RB301-3</v>
          </cell>
          <cell r="C151" t="str">
            <v>Bieres modernes</v>
          </cell>
          <cell r="D151" t="str">
            <v>RB301-3</v>
          </cell>
          <cell r="E151" t="str">
            <v>Modern beer</v>
          </cell>
        </row>
        <row r="152">
          <cell r="A152">
            <v>7</v>
          </cell>
          <cell r="B152" t="str">
            <v>RB301-9</v>
          </cell>
          <cell r="C152" t="str">
            <v>Autres boissons alcoolisées</v>
          </cell>
          <cell r="D152" t="str">
            <v>RB301-9</v>
          </cell>
          <cell r="E152" t="str">
            <v>Other alcoholic drinks</v>
          </cell>
        </row>
        <row r="153">
          <cell r="A153">
            <v>7</v>
          </cell>
          <cell r="B153" t="str">
            <v>RB302-1</v>
          </cell>
          <cell r="C153" t="str">
            <v>Boissons non alcoolisées traditionelles</v>
          </cell>
          <cell r="D153" t="str">
            <v>RB302-1</v>
          </cell>
          <cell r="E153" t="str">
            <v>Traditional soft drinks</v>
          </cell>
        </row>
        <row r="154">
          <cell r="A154">
            <v>7</v>
          </cell>
          <cell r="B154" t="str">
            <v>RB302-2</v>
          </cell>
          <cell r="C154" t="str">
            <v>Boissons non alcoolisées modernes; eau minerale</v>
          </cell>
          <cell r="D154" t="str">
            <v>RB302-2</v>
          </cell>
          <cell r="E154" t="str">
            <v>Modern soft drinks, mineral water</v>
          </cell>
        </row>
        <row r="155">
          <cell r="A155">
            <v>7</v>
          </cell>
          <cell r="B155" t="str">
            <v>RB303-0</v>
          </cell>
          <cell r="C155" t="str">
            <v>Cigarettes</v>
          </cell>
          <cell r="D155" t="str">
            <v>RB303-0</v>
          </cell>
          <cell r="E155" t="str">
            <v>Tobacco products</v>
          </cell>
        </row>
        <row r="156">
          <cell r="A156">
            <v>7</v>
          </cell>
          <cell r="B156" t="str">
            <v>RB401-1</v>
          </cell>
          <cell r="C156" t="str">
            <v>Produits textiles et articles sauf habillements</v>
          </cell>
          <cell r="D156" t="str">
            <v>RB401-1</v>
          </cell>
          <cell r="E156" t="str">
            <v>Textile products except  clothing</v>
          </cell>
        </row>
        <row r="157">
          <cell r="A157">
            <v>7</v>
          </cell>
          <cell r="B157" t="str">
            <v>RB401-2</v>
          </cell>
          <cell r="C157" t="str">
            <v>Habillements neuves et d'occasion</v>
          </cell>
          <cell r="D157" t="str">
            <v>RB401-2</v>
          </cell>
          <cell r="E157" t="str">
            <v>Clothing, new &amp; second-hand</v>
          </cell>
        </row>
        <row r="158">
          <cell r="A158">
            <v>7</v>
          </cell>
          <cell r="B158" t="str">
            <v>RB401-3</v>
          </cell>
          <cell r="C158" t="str">
            <v>Chaussures; cuir et produits en cuir</v>
          </cell>
          <cell r="D158" t="str">
            <v>RB401-3</v>
          </cell>
          <cell r="E158" t="str">
            <v>Shoes; articles of leather</v>
          </cell>
        </row>
        <row r="159">
          <cell r="A159">
            <v>7</v>
          </cell>
          <cell r="B159" t="str">
            <v>RB402-1</v>
          </cell>
          <cell r="C159" t="str">
            <v>Articles en bois ou de vannerie</v>
          </cell>
          <cell r="D159" t="str">
            <v>RB402-1</v>
          </cell>
          <cell r="E159" t="str">
            <v>Wood and basket ware products</v>
          </cell>
        </row>
        <row r="160">
          <cell r="A160">
            <v>7</v>
          </cell>
          <cell r="B160" t="str">
            <v>RB402-2</v>
          </cell>
          <cell r="C160" t="str">
            <v>Papiers et cartons;articles en papiers et en carton</v>
          </cell>
          <cell r="D160" t="str">
            <v>RB402-2</v>
          </cell>
          <cell r="E160" t="str">
            <v>Paper, cardboard and articles thereof</v>
          </cell>
        </row>
        <row r="161">
          <cell r="A161">
            <v>7</v>
          </cell>
          <cell r="B161" t="str">
            <v>RB402-3</v>
          </cell>
          <cell r="C161" t="str">
            <v>Produits d'imprimerie;services de reproduction d'enregistrement</v>
          </cell>
          <cell r="D161" t="str">
            <v>RB402-3</v>
          </cell>
          <cell r="E161" t="str">
            <v>Printing and reproduction products</v>
          </cell>
        </row>
        <row r="162">
          <cell r="A162">
            <v>7</v>
          </cell>
          <cell r="B162" t="str">
            <v>RB402-4</v>
          </cell>
          <cell r="C162" t="str">
            <v>Produits de l'édition</v>
          </cell>
          <cell r="D162" t="str">
            <v>RB402-4</v>
          </cell>
          <cell r="E162" t="str">
            <v>Publishing products</v>
          </cell>
        </row>
        <row r="163">
          <cell r="A163">
            <v>7</v>
          </cell>
          <cell r="B163" t="str">
            <v>RB403-0</v>
          </cell>
          <cell r="C163" t="str">
            <v>Carburant</v>
          </cell>
          <cell r="D163" t="str">
            <v>RB403-0</v>
          </cell>
          <cell r="E163" t="str">
            <v>Petroleum products</v>
          </cell>
        </row>
        <row r="164">
          <cell r="A164">
            <v>7</v>
          </cell>
          <cell r="B164" t="str">
            <v>RB404-1</v>
          </cell>
          <cell r="C164" t="str">
            <v>Engrais et insecticide</v>
          </cell>
          <cell r="D164" t="str">
            <v>RB404-1</v>
          </cell>
          <cell r="E164" t="str">
            <v>Fertilisers and insecticides</v>
          </cell>
        </row>
        <row r="165">
          <cell r="A165">
            <v>7</v>
          </cell>
          <cell r="B165" t="str">
            <v>RB404-2</v>
          </cell>
          <cell r="C165" t="str">
            <v>Produits de pharmacie</v>
          </cell>
          <cell r="D165" t="str">
            <v>RB404-2</v>
          </cell>
          <cell r="E165" t="str">
            <v>Pharmaceutical products</v>
          </cell>
        </row>
        <row r="166">
          <cell r="A166">
            <v>7</v>
          </cell>
          <cell r="B166" t="str">
            <v>RB404-3</v>
          </cell>
          <cell r="C166" t="str">
            <v>Savons,cosmetiques , preparations de menage et de toilette</v>
          </cell>
          <cell r="D166" t="str">
            <v>RB404-3</v>
          </cell>
          <cell r="E166" t="str">
            <v>Soap, cosmetics and other cleaning products</v>
          </cell>
        </row>
        <row r="167">
          <cell r="A167">
            <v>7</v>
          </cell>
          <cell r="B167" t="str">
            <v>RB404-4</v>
          </cell>
          <cell r="C167" t="str">
            <v>Pneus</v>
          </cell>
          <cell r="D167" t="str">
            <v>RB404-4</v>
          </cell>
          <cell r="E167" t="str">
            <v>Tyres</v>
          </cell>
        </row>
        <row r="168">
          <cell r="A168">
            <v>7</v>
          </cell>
          <cell r="B168" t="str">
            <v>RB404-5</v>
          </cell>
          <cell r="C168" t="str">
            <v>Matériaux de construction en plastique</v>
          </cell>
          <cell r="D168" t="str">
            <v>RB404-5</v>
          </cell>
          <cell r="E168" t="str">
            <v>Plastic construction materials</v>
          </cell>
        </row>
        <row r="169">
          <cell r="A169">
            <v>7</v>
          </cell>
          <cell r="B169" t="str">
            <v>RB404-9</v>
          </cell>
          <cell r="C169" t="str">
            <v>Autres produits chimiques, produits en caoutchouc et plastique</v>
          </cell>
          <cell r="D169" t="str">
            <v>RB404-9</v>
          </cell>
          <cell r="E169" t="str">
            <v>Other chemical, rubber and plastic products</v>
          </cell>
        </row>
        <row r="170">
          <cell r="A170">
            <v>7</v>
          </cell>
          <cell r="B170" t="str">
            <v>RB405-1</v>
          </cell>
          <cell r="C170" t="str">
            <v>Verres, poteries et autres</v>
          </cell>
          <cell r="D170" t="str">
            <v>RB405-1</v>
          </cell>
          <cell r="E170" t="str">
            <v>Glass, ceramics, etc n.e.c.</v>
          </cell>
        </row>
        <row r="171">
          <cell r="A171">
            <v>7</v>
          </cell>
          <cell r="B171" t="str">
            <v>RB405-2</v>
          </cell>
          <cell r="C171" t="str">
            <v>Ciment</v>
          </cell>
          <cell r="D171" t="str">
            <v>RB405-2</v>
          </cell>
          <cell r="E171" t="str">
            <v>Cement</v>
          </cell>
        </row>
        <row r="172">
          <cell r="A172">
            <v>7</v>
          </cell>
          <cell r="B172" t="str">
            <v>RB405-3</v>
          </cell>
          <cell r="C172" t="str">
            <v>Brique</v>
          </cell>
          <cell r="D172" t="str">
            <v>RB405-3</v>
          </cell>
          <cell r="E172" t="str">
            <v>Bricks</v>
          </cell>
        </row>
        <row r="173">
          <cell r="A173">
            <v>7</v>
          </cell>
          <cell r="B173" t="str">
            <v>RB405-4</v>
          </cell>
          <cell r="C173" t="str">
            <v>Chaux, platre, articles en pierre, béton etc</v>
          </cell>
          <cell r="D173" t="str">
            <v>RB405-4</v>
          </cell>
          <cell r="E173" t="str">
            <v>Lime, plaster, articles of stone, concrete etc</v>
          </cell>
        </row>
        <row r="174">
          <cell r="A174">
            <v>7</v>
          </cell>
          <cell r="B174" t="str">
            <v>RB406-1</v>
          </cell>
          <cell r="C174" t="str">
            <v>Matériaux de construction en fer, acier</v>
          </cell>
          <cell r="D174" t="str">
            <v>RB406-1</v>
          </cell>
          <cell r="E174" t="str">
            <v>Construction goods of iron, steel</v>
          </cell>
        </row>
        <row r="175">
          <cell r="A175">
            <v>7</v>
          </cell>
          <cell r="B175" t="str">
            <v>RB406-2</v>
          </cell>
          <cell r="C175" t="str">
            <v>Produits de ménage en métal</v>
          </cell>
          <cell r="D175" t="str">
            <v>RB406-2</v>
          </cell>
          <cell r="E175" t="str">
            <v>Domestic metal products</v>
          </cell>
        </row>
        <row r="176">
          <cell r="A176">
            <v>7</v>
          </cell>
          <cell r="B176" t="str">
            <v>RB406-9</v>
          </cell>
          <cell r="C176" t="str">
            <v>Autres produits des métaux</v>
          </cell>
          <cell r="D176" t="str">
            <v>RB406-9</v>
          </cell>
          <cell r="E176" t="str">
            <v>Other metal products</v>
          </cell>
        </row>
        <row r="177">
          <cell r="A177">
            <v>7</v>
          </cell>
          <cell r="B177" t="str">
            <v>RB407-1</v>
          </cell>
          <cell r="C177" t="str">
            <v>Matériels electro-menage et autre pour menage</v>
          </cell>
          <cell r="D177" t="str">
            <v>RB407-1</v>
          </cell>
          <cell r="E177" t="str">
            <v>Household electrical appliances</v>
          </cell>
        </row>
        <row r="178">
          <cell r="A178">
            <v>7</v>
          </cell>
          <cell r="B178" t="str">
            <v>RB407-2</v>
          </cell>
          <cell r="C178" t="str">
            <v>Appariels de téléphone</v>
          </cell>
          <cell r="D178" t="str">
            <v>RB407-2</v>
          </cell>
          <cell r="E178" t="str">
            <v>Telephonic apparatus</v>
          </cell>
        </row>
        <row r="179">
          <cell r="A179">
            <v>7</v>
          </cell>
          <cell r="B179" t="str">
            <v>RB407-3</v>
          </cell>
          <cell r="C179" t="str">
            <v>Appariels de radio, TV, musique, sport etc</v>
          </cell>
          <cell r="D179" t="str">
            <v>RB407-3</v>
          </cell>
          <cell r="E179" t="str">
            <v>Audio-visual and recreational equipment</v>
          </cell>
        </row>
        <row r="180">
          <cell r="A180">
            <v>7</v>
          </cell>
          <cell r="B180" t="str">
            <v>RB407-4</v>
          </cell>
          <cell r="C180" t="str">
            <v>Matériels informatiques</v>
          </cell>
          <cell r="D180" t="str">
            <v>RB407-4</v>
          </cell>
          <cell r="E180" t="str">
            <v>Computing equipment</v>
          </cell>
        </row>
        <row r="181">
          <cell r="A181">
            <v>7</v>
          </cell>
          <cell r="B181" t="str">
            <v>RB407-5</v>
          </cell>
          <cell r="C181" t="str">
            <v>Cellules électriques</v>
          </cell>
          <cell r="D181" t="str">
            <v>RB407-5</v>
          </cell>
          <cell r="E181" t="str">
            <v>Batteries</v>
          </cell>
        </row>
        <row r="182">
          <cell r="A182">
            <v>7</v>
          </cell>
          <cell r="B182" t="str">
            <v>RB407-6</v>
          </cell>
          <cell r="C182" t="str">
            <v>Pieces des machines</v>
          </cell>
          <cell r="D182" t="str">
            <v>RB407-6</v>
          </cell>
          <cell r="E182" t="str">
            <v>Parts of machinery and equipment n.e.c.</v>
          </cell>
        </row>
        <row r="183">
          <cell r="A183">
            <v>7</v>
          </cell>
          <cell r="B183" t="str">
            <v>RB407-7</v>
          </cell>
          <cell r="C183" t="str">
            <v>Autres machines et matériels électriques, sauf transport</v>
          </cell>
          <cell r="D183" t="str">
            <v>RB407-7</v>
          </cell>
          <cell r="E183" t="str">
            <v xml:space="preserve">Other machinery and equipment n.e.c. </v>
          </cell>
        </row>
        <row r="184">
          <cell r="A184">
            <v>7</v>
          </cell>
          <cell r="B184" t="str">
            <v>RB407-8</v>
          </cell>
          <cell r="C184" t="str">
            <v>Matériels de transport</v>
          </cell>
          <cell r="D184" t="str">
            <v>RB407-8</v>
          </cell>
          <cell r="E184" t="str">
            <v>Transport equipment</v>
          </cell>
        </row>
        <row r="185">
          <cell r="A185">
            <v>7</v>
          </cell>
          <cell r="B185" t="str">
            <v>RB407-9</v>
          </cell>
          <cell r="C185" t="str">
            <v>Pieces des matériels de transport</v>
          </cell>
          <cell r="D185" t="str">
            <v>RB407-9</v>
          </cell>
          <cell r="E185" t="str">
            <v>Parts of transport equipment</v>
          </cell>
        </row>
        <row r="186">
          <cell r="A186">
            <v>7</v>
          </cell>
          <cell r="B186" t="str">
            <v>RB409-1</v>
          </cell>
          <cell r="C186" t="str">
            <v>Meubles</v>
          </cell>
          <cell r="D186" t="str">
            <v>RB409-1</v>
          </cell>
          <cell r="E186" t="str">
            <v>Furniture</v>
          </cell>
        </row>
        <row r="187">
          <cell r="A187">
            <v>7</v>
          </cell>
          <cell r="B187" t="str">
            <v>RB409-2</v>
          </cell>
          <cell r="C187" t="str">
            <v>Fournitures  de bureau</v>
          </cell>
          <cell r="D187" t="str">
            <v>RB409-2</v>
          </cell>
          <cell r="E187" t="str">
            <v>Office supplies</v>
          </cell>
        </row>
        <row r="188">
          <cell r="A188">
            <v>7</v>
          </cell>
          <cell r="B188" t="str">
            <v>RB409-9</v>
          </cell>
          <cell r="C188" t="str">
            <v>Autres produits des activités manufacturières et récupération</v>
          </cell>
          <cell r="D188" t="str">
            <v>RB409-9</v>
          </cell>
          <cell r="E188" t="str">
            <v xml:space="preserve">Other manufactured &amp; recycled products </v>
          </cell>
        </row>
        <row r="189">
          <cell r="A189">
            <v>7</v>
          </cell>
          <cell r="B189" t="str">
            <v>RB501-0</v>
          </cell>
          <cell r="C189" t="str">
            <v>Electricité</v>
          </cell>
          <cell r="D189" t="str">
            <v>RB501-0</v>
          </cell>
          <cell r="E189" t="str">
            <v>Electricity</v>
          </cell>
        </row>
        <row r="190">
          <cell r="A190">
            <v>7</v>
          </cell>
          <cell r="B190" t="str">
            <v>RB502-0</v>
          </cell>
          <cell r="C190" t="str">
            <v>Eau distribuée</v>
          </cell>
          <cell r="D190" t="str">
            <v>RB502-0</v>
          </cell>
          <cell r="E190" t="str">
            <v>Water</v>
          </cell>
        </row>
        <row r="191">
          <cell r="A191">
            <v>7</v>
          </cell>
          <cell r="B191" t="str">
            <v>RB600-1</v>
          </cell>
          <cell r="C191" t="str">
            <v>Travaux des routes</v>
          </cell>
          <cell r="D191" t="str">
            <v>RB600-1</v>
          </cell>
          <cell r="E191" t="str">
            <v>Road construction</v>
          </cell>
        </row>
        <row r="192">
          <cell r="A192">
            <v>7</v>
          </cell>
          <cell r="B192" t="str">
            <v>RB600-2</v>
          </cell>
          <cell r="C192" t="str">
            <v>Autres travaux de génie civil</v>
          </cell>
          <cell r="D192" t="str">
            <v>RB600-2</v>
          </cell>
          <cell r="E192" t="str">
            <v>Other civil works</v>
          </cell>
        </row>
        <row r="193">
          <cell r="A193">
            <v>7</v>
          </cell>
          <cell r="B193" t="str">
            <v>RB600-3</v>
          </cell>
          <cell r="C193" t="str">
            <v>Constructions de bâtiments modernes</v>
          </cell>
          <cell r="D193" t="str">
            <v>RB600-3</v>
          </cell>
          <cell r="E193" t="str">
            <v>Modern buildings</v>
          </cell>
        </row>
        <row r="194">
          <cell r="A194">
            <v>7</v>
          </cell>
          <cell r="B194" t="str">
            <v>RB600-4</v>
          </cell>
          <cell r="C194" t="str">
            <v>Habitations traditionelles</v>
          </cell>
          <cell r="D194" t="str">
            <v>RB600-4</v>
          </cell>
          <cell r="E194" t="str">
            <v>Traditional dwellings</v>
          </cell>
        </row>
        <row r="195">
          <cell r="A195">
            <v>7</v>
          </cell>
          <cell r="B195" t="str">
            <v>RB600-5</v>
          </cell>
          <cell r="C195" t="str">
            <v>Travaux d'entretien</v>
          </cell>
          <cell r="D195" t="str">
            <v>RB600-5</v>
          </cell>
          <cell r="E195" t="str">
            <v>Maintenance work</v>
          </cell>
        </row>
        <row r="196">
          <cell r="A196">
            <v>7</v>
          </cell>
          <cell r="B196" t="str">
            <v>RC101-0</v>
          </cell>
          <cell r="C196" t="str">
            <v xml:space="preserve">Commerce </v>
          </cell>
          <cell r="D196" t="str">
            <v>RC101-0</v>
          </cell>
          <cell r="E196" t="str">
            <v>Wholesale &amp; retail trade</v>
          </cell>
        </row>
        <row r="197">
          <cell r="A197">
            <v>7</v>
          </cell>
          <cell r="B197" t="str">
            <v>RC102-0</v>
          </cell>
          <cell r="C197" t="str">
            <v>Services de réparation</v>
          </cell>
          <cell r="D197" t="str">
            <v>RC102-0</v>
          </cell>
          <cell r="E197" t="str">
            <v>Repairs</v>
          </cell>
        </row>
        <row r="198">
          <cell r="A198">
            <v>7</v>
          </cell>
          <cell r="B198" t="str">
            <v>RC200-1</v>
          </cell>
          <cell r="C198" t="str">
            <v>Service d'hotellerie</v>
          </cell>
          <cell r="D198" t="str">
            <v>RC200-1</v>
          </cell>
          <cell r="E198" t="str">
            <v>Accommodation</v>
          </cell>
        </row>
        <row r="199">
          <cell r="A199">
            <v>7</v>
          </cell>
          <cell r="B199" t="str">
            <v>RC200-2</v>
          </cell>
          <cell r="C199" t="str">
            <v>Service de restauration</v>
          </cell>
          <cell r="D199" t="str">
            <v>RC200-2</v>
          </cell>
          <cell r="E199" t="str">
            <v>Food and drinks</v>
          </cell>
        </row>
        <row r="200">
          <cell r="A200">
            <v>7</v>
          </cell>
          <cell r="B200" t="str">
            <v>RC301-1</v>
          </cell>
          <cell r="C200" t="str">
            <v>Transport de marchandise</v>
          </cell>
          <cell r="D200" t="str">
            <v>RC301-1</v>
          </cell>
          <cell r="E200" t="str">
            <v>Freight</v>
          </cell>
        </row>
        <row r="201">
          <cell r="A201">
            <v>7</v>
          </cell>
          <cell r="B201" t="str">
            <v>RC301-2</v>
          </cell>
          <cell r="C201" t="str">
            <v>Transports de personnel</v>
          </cell>
          <cell r="D201" t="str">
            <v>RC301-2</v>
          </cell>
          <cell r="E201" t="str">
            <v>Passenger transport</v>
          </cell>
        </row>
        <row r="202">
          <cell r="A202">
            <v>7</v>
          </cell>
          <cell r="B202" t="str">
            <v>RC302-0</v>
          </cell>
          <cell r="C202" t="str">
            <v>Services des transports aériens</v>
          </cell>
          <cell r="D202" t="str">
            <v>RC302-0</v>
          </cell>
          <cell r="E202" t="str">
            <v>Air transport</v>
          </cell>
        </row>
        <row r="203">
          <cell r="A203">
            <v>7</v>
          </cell>
          <cell r="B203" t="str">
            <v>RC303-1</v>
          </cell>
          <cell r="C203" t="str">
            <v>Entreposage; agences de fret</v>
          </cell>
          <cell r="D203" t="str">
            <v>RC303-1</v>
          </cell>
          <cell r="E203" t="str">
            <v>Storage; clearing agents</v>
          </cell>
        </row>
        <row r="204">
          <cell r="A204">
            <v>7</v>
          </cell>
          <cell r="B204" t="str">
            <v>RC303-2</v>
          </cell>
          <cell r="C204" t="str">
            <v>Agences de voyages</v>
          </cell>
          <cell r="D204" t="str">
            <v>RC303-2</v>
          </cell>
          <cell r="E204" t="str">
            <v>Travel agents and tour operators</v>
          </cell>
        </row>
        <row r="205">
          <cell r="A205">
            <v>7</v>
          </cell>
          <cell r="B205" t="str">
            <v>RC304-0</v>
          </cell>
          <cell r="C205" t="str">
            <v>Services des postes</v>
          </cell>
          <cell r="D205" t="str">
            <v>RC304-0</v>
          </cell>
          <cell r="E205" t="str">
            <v>Postal services</v>
          </cell>
        </row>
        <row r="206">
          <cell r="A206">
            <v>7</v>
          </cell>
          <cell r="B206" t="str">
            <v>RC305-0</v>
          </cell>
          <cell r="C206" t="str">
            <v>Services de télécommunications</v>
          </cell>
          <cell r="D206" t="str">
            <v>RC305-0</v>
          </cell>
          <cell r="E206" t="str">
            <v>Telecommunication</v>
          </cell>
        </row>
        <row r="207">
          <cell r="A207">
            <v>7</v>
          </cell>
          <cell r="B207" t="str">
            <v>RC401-0</v>
          </cell>
          <cell r="C207" t="str">
            <v>Services d'intermédiation monétaire</v>
          </cell>
          <cell r="D207" t="str">
            <v>RC401-0</v>
          </cell>
          <cell r="E207" t="str">
            <v>Central Bank</v>
          </cell>
        </row>
        <row r="208">
          <cell r="A208">
            <v>7</v>
          </cell>
          <cell r="B208" t="str">
            <v>RC402-0</v>
          </cell>
          <cell r="C208" t="str">
            <v>Services d'intermédiation financières et auxiliaires financiers</v>
          </cell>
          <cell r="D208" t="str">
            <v>RC402-0</v>
          </cell>
          <cell r="E208" t="str">
            <v>Banking and related services</v>
          </cell>
        </row>
        <row r="209">
          <cell r="A209">
            <v>7</v>
          </cell>
          <cell r="B209" t="str">
            <v>RC403-0</v>
          </cell>
          <cell r="C209" t="str">
            <v>Services d'assurances et auxiliaires d'assurance</v>
          </cell>
          <cell r="D209" t="str">
            <v>RC403-0</v>
          </cell>
          <cell r="E209" t="str">
            <v>Insurance and related services</v>
          </cell>
        </row>
        <row r="210">
          <cell r="A210">
            <v>7</v>
          </cell>
          <cell r="B210" t="str">
            <v>RC501-1</v>
          </cell>
          <cell r="C210" t="str">
            <v>Habitations modernes</v>
          </cell>
          <cell r="D210" t="str">
            <v>RC501-1</v>
          </cell>
          <cell r="E210" t="str">
            <v>Rents of modern dwellings</v>
          </cell>
        </row>
        <row r="211">
          <cell r="A211">
            <v>7</v>
          </cell>
          <cell r="B211" t="str">
            <v>RC501-2</v>
          </cell>
          <cell r="C211" t="str">
            <v>Habitations traditionelles</v>
          </cell>
          <cell r="D211" t="str">
            <v>RC501-2</v>
          </cell>
          <cell r="E211" t="str">
            <v>Rents of traditional dwellings</v>
          </cell>
        </row>
        <row r="212">
          <cell r="A212">
            <v>7</v>
          </cell>
          <cell r="B212" t="str">
            <v>RC502-0</v>
          </cell>
          <cell r="C212" t="str">
            <v>Services informatiques et annexes</v>
          </cell>
          <cell r="D212" t="str">
            <v>RC502-0</v>
          </cell>
          <cell r="E212" t="str">
            <v>Information technology services</v>
          </cell>
        </row>
        <row r="213">
          <cell r="A213">
            <v>7</v>
          </cell>
          <cell r="B213" t="str">
            <v>RC509-0</v>
          </cell>
          <cell r="C213" t="str">
            <v>Autres services marchands</v>
          </cell>
          <cell r="D213" t="str">
            <v>RC509-0</v>
          </cell>
          <cell r="E213" t="str">
            <v>Other business services</v>
          </cell>
        </row>
        <row r="214">
          <cell r="A214">
            <v>7</v>
          </cell>
          <cell r="B214" t="str">
            <v>RC600-1</v>
          </cell>
          <cell r="C214" t="str">
            <v>Services collectifs d'administration publique (hors securité sociale)</v>
          </cell>
          <cell r="D214" t="str">
            <v>RC600-1</v>
          </cell>
          <cell r="E214" t="str">
            <v>Public administration (except social security)</v>
          </cell>
        </row>
        <row r="215">
          <cell r="A215">
            <v>7</v>
          </cell>
          <cell r="B215" t="str">
            <v>RC600-2</v>
          </cell>
          <cell r="C215" t="str">
            <v xml:space="preserve">Services de securité sociale </v>
          </cell>
          <cell r="D215" t="str">
            <v>RC600-2</v>
          </cell>
          <cell r="E215" t="str">
            <v>Social security</v>
          </cell>
        </row>
        <row r="216">
          <cell r="A216">
            <v>7</v>
          </cell>
          <cell r="B216" t="str">
            <v>RC700-1</v>
          </cell>
          <cell r="C216" t="str">
            <v>Primaire</v>
          </cell>
          <cell r="D216" t="str">
            <v>RC700-1</v>
          </cell>
          <cell r="E216" t="str">
            <v>Primary</v>
          </cell>
        </row>
        <row r="217">
          <cell r="A217">
            <v>7</v>
          </cell>
          <cell r="B217" t="str">
            <v>RC700-2</v>
          </cell>
          <cell r="C217" t="str">
            <v>Secondaire</v>
          </cell>
          <cell r="D217" t="str">
            <v>RC700-2</v>
          </cell>
          <cell r="E217" t="str">
            <v>Secondary</v>
          </cell>
        </row>
        <row r="218">
          <cell r="A218">
            <v>7</v>
          </cell>
          <cell r="B218" t="str">
            <v>RC700-3</v>
          </cell>
          <cell r="C218" t="str">
            <v>Autres niveaux</v>
          </cell>
          <cell r="D218" t="str">
            <v>RC700-3</v>
          </cell>
          <cell r="E218" t="str">
            <v>Other levels</v>
          </cell>
        </row>
        <row r="219">
          <cell r="A219">
            <v>7</v>
          </cell>
          <cell r="B219" t="str">
            <v>RC801-0</v>
          </cell>
          <cell r="C219" t="str">
            <v xml:space="preserve">Services de santé humaine </v>
          </cell>
          <cell r="D219" t="str">
            <v>RC801-0</v>
          </cell>
          <cell r="E219" t="str">
            <v>Human health services</v>
          </cell>
        </row>
        <row r="220">
          <cell r="A220">
            <v>7</v>
          </cell>
          <cell r="B220" t="str">
            <v>RC802-0</v>
          </cell>
          <cell r="C220" t="str">
            <v>Services vétérinaires</v>
          </cell>
          <cell r="D220" t="str">
            <v>RC802-0</v>
          </cell>
          <cell r="E220" t="str">
            <v>Veterinary services</v>
          </cell>
        </row>
        <row r="221">
          <cell r="A221">
            <v>7</v>
          </cell>
          <cell r="B221" t="str">
            <v>RC901-1</v>
          </cell>
          <cell r="C221" t="str">
            <v>Sites touristiques</v>
          </cell>
          <cell r="D221" t="str">
            <v>RC901-1</v>
          </cell>
          <cell r="E221" t="str">
            <v>Tourist sites</v>
          </cell>
        </row>
        <row r="222">
          <cell r="A222">
            <v>7</v>
          </cell>
          <cell r="B222" t="str">
            <v>RC901-2</v>
          </cell>
          <cell r="C222" t="str">
            <v>Services de coiffures et soins de beauté</v>
          </cell>
          <cell r="D222" t="str">
            <v>RC901-2</v>
          </cell>
          <cell r="E222" t="str">
            <v>Hairdressing &amp; beauty treatment</v>
          </cell>
        </row>
        <row r="223">
          <cell r="A223">
            <v>7</v>
          </cell>
          <cell r="B223" t="str">
            <v>RC901-9</v>
          </cell>
          <cell r="C223" t="str">
            <v>Autres services personnels</v>
          </cell>
          <cell r="D223" t="str">
            <v>RC901-9</v>
          </cell>
          <cell r="E223" t="str">
            <v>Other personal and community services</v>
          </cell>
        </row>
        <row r="224">
          <cell r="A224">
            <v>7</v>
          </cell>
          <cell r="B224" t="str">
            <v>RC902-0</v>
          </cell>
          <cell r="C224" t="str">
            <v>Services de personnel domestique</v>
          </cell>
          <cell r="D224" t="str">
            <v>RC902-0</v>
          </cell>
          <cell r="E224" t="str">
            <v>Domestic services</v>
          </cell>
        </row>
        <row r="225">
          <cell r="A225">
            <v>7</v>
          </cell>
          <cell r="B225" t="str">
            <v>RD001-1</v>
          </cell>
          <cell r="C225" t="str">
            <v>Depenses de résidents a l'étrangé</v>
          </cell>
          <cell r="D225" t="str">
            <v>RD001-1</v>
          </cell>
          <cell r="E225" t="str">
            <v>Spending by residents abroad</v>
          </cell>
        </row>
        <row r="226">
          <cell r="A226">
            <v>7</v>
          </cell>
          <cell r="B226" t="str">
            <v>RD001-2</v>
          </cell>
          <cell r="C226" t="str">
            <v>Depenses de non-résidents au pays</v>
          </cell>
          <cell r="D226" t="str">
            <v>RD001-2</v>
          </cell>
          <cell r="E226" t="str">
            <v>Spending by non-residents in Rwanda</v>
          </cell>
        </row>
        <row r="227">
          <cell r="A227">
            <v>7</v>
          </cell>
          <cell r="B227" t="str">
            <v>RD002-0</v>
          </cell>
          <cell r="C227" t="str">
            <v>Sifim</v>
          </cell>
          <cell r="D227" t="str">
            <v>RD002-0</v>
          </cell>
          <cell r="E227" t="str">
            <v>FISIM</v>
          </cell>
        </row>
        <row r="228">
          <cell r="A228">
            <v>7</v>
          </cell>
          <cell r="B228" t="str">
            <v>RD003-0</v>
          </cell>
          <cell r="C228" t="str">
            <v>Produits en attentes</v>
          </cell>
          <cell r="D228" t="str">
            <v>RD003-0</v>
          </cell>
          <cell r="E228" t="str">
            <v>Unallocated products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ettings"/>
      <sheetName val="Test set 1"/>
      <sheetName val="Test set 2 - Internal to file"/>
      <sheetName val="Test set 3 - Against orig NCP"/>
      <sheetName val="Test set 4"/>
      <sheetName val="Daily figures"/>
      <sheetName val="cf &quot;Actual CollectionsXX.xls&quot;"/>
      <sheetName val="Refunds for Fundi"/>
      <sheetName val="Play with YTD figures"/>
      <sheetName val="2009-10 Estimates"/>
      <sheetName val="Raw Actuals"/>
      <sheetName val="Raw Estimates"/>
      <sheetName val="Actuals"/>
      <sheetName val="Estimates"/>
      <sheetName val="Actuals &amp; Estimates DB"/>
      <sheetName val="Test DB Actuals"/>
      <sheetName val="Test DB Estimates"/>
      <sheetName val="Pivot"/>
      <sheetName val="Main Table (Rands)"/>
      <sheetName val="Main Table (R'000)"/>
      <sheetName val="Still to collect"/>
      <sheetName val="New Exco (base)"/>
      <sheetName val="Main tax types - graphs &amp; SMSes"/>
      <sheetName val="Cumulative graph"/>
      <sheetName val="Mamiky table"/>
      <sheetName val="Revenue by Function (Rands)"/>
      <sheetName val="Main Table (R'000) Excise"/>
      <sheetName val="Main Table (R'000) Customs"/>
      <sheetName val="Compare acts &amp; est 4 single day"/>
      <sheetName val="Monthly Performance table"/>
      <sheetName val="Year-on-year actuals"/>
      <sheetName val="Yr-on-yr actuals 0809 on 0708"/>
      <sheetName val="Tracking report"/>
      <sheetName val="MTD and YTD Gross &amp; Refunds"/>
      <sheetName val="Commissioner"/>
      <sheetName val="Outflow Inflow Management MTD"/>
      <sheetName val="Outflow Inflow Management YTD"/>
      <sheetName val="Lookup &amp; list Parameters"/>
      <sheetName val="201003 REVISED MAR 2010"/>
    </sheetNames>
    <sheetDataSet>
      <sheetData sheetId="0"/>
      <sheetData sheetId="1">
        <row r="24">
          <cell r="J24" t="str">
            <v>[201003 REVISED Mar 2010.xls]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42">
          <cell r="E842" t="str">
            <v>01  Taxes on income and profits</v>
          </cell>
        </row>
      </sheetData>
      <sheetData sheetId="14">
        <row r="190">
          <cell r="E190" t="str">
            <v>01  Taxes on income and profits</v>
          </cell>
        </row>
      </sheetData>
      <sheetData sheetId="15"/>
      <sheetData sheetId="16"/>
      <sheetData sheetId="17"/>
      <sheetData sheetId="18">
        <row r="12">
          <cell r="F12">
            <v>40268</v>
          </cell>
        </row>
      </sheetData>
      <sheetData sheetId="19">
        <row r="8">
          <cell r="E8" t="str">
            <v>Year-to-date (and month-to-date) figures are final</v>
          </cell>
        </row>
      </sheetData>
      <sheetData sheetId="20">
        <row r="9">
          <cell r="E9" t="str">
            <v>Tax type (R'000)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17">
          <cell r="D117" t="str">
            <v>Notes</v>
          </cell>
          <cell r="E117" t="str">
            <v>Notes</v>
          </cell>
        </row>
        <row r="118">
          <cell r="D118" t="str">
            <v>Settings</v>
          </cell>
          <cell r="E118" t="str">
            <v>Settings</v>
          </cell>
        </row>
        <row r="119">
          <cell r="D119" t="str">
            <v>Test set 1</v>
          </cell>
          <cell r="E119" t="str">
            <v>Tests</v>
          </cell>
        </row>
        <row r="120">
          <cell r="D120" t="str">
            <v>Sheet1</v>
          </cell>
        </row>
        <row r="121">
          <cell r="D121" t="str">
            <v>Sheet2</v>
          </cell>
        </row>
        <row r="122">
          <cell r="D122" t="str">
            <v>Daily figures</v>
          </cell>
          <cell r="E122" t="str">
            <v>Daily figures</v>
          </cell>
        </row>
        <row r="123">
          <cell r="D123" t="str">
            <v>cf "Actual CollectionsXX.xls"</v>
          </cell>
          <cell r="E123" t="str">
            <v>Compare to Lettie's figures</v>
          </cell>
        </row>
        <row r="124">
          <cell r="D124" t="str">
            <v>Refunds for Fundi</v>
          </cell>
          <cell r="E124" t="str">
            <v>Refunds for Fundi</v>
          </cell>
        </row>
        <row r="125">
          <cell r="D125" t="str">
            <v>2009-10 Estimates</v>
          </cell>
          <cell r="E125" t="str">
            <v>2009-10 Estimates</v>
          </cell>
        </row>
        <row r="126">
          <cell r="D126" t="str">
            <v>Raw Actuals</v>
          </cell>
          <cell r="E126" t="str">
            <v>Raw Actuals</v>
          </cell>
        </row>
        <row r="127">
          <cell r="D127" t="str">
            <v>Raw Estimates</v>
          </cell>
          <cell r="E127" t="str">
            <v>Raw Estimates</v>
          </cell>
        </row>
        <row r="128">
          <cell r="D128" t="str">
            <v>Actuals</v>
          </cell>
          <cell r="E128" t="str">
            <v>Daily Actuals</v>
          </cell>
        </row>
        <row r="129">
          <cell r="D129" t="str">
            <v>Estimates</v>
          </cell>
          <cell r="E129" t="str">
            <v>Daily Estimates</v>
          </cell>
        </row>
        <row r="130">
          <cell r="D130" t="str">
            <v>Actuals &amp; Estimates DB</v>
          </cell>
          <cell r="E130" t="str">
            <v>Daily DB for this month</v>
          </cell>
        </row>
        <row r="131">
          <cell r="D131" t="str">
            <v>Test DB Actuals</v>
          </cell>
          <cell r="E131" t="str">
            <v>Test DB Actuals</v>
          </cell>
        </row>
        <row r="132">
          <cell r="D132" t="str">
            <v>Test DB Estimates</v>
          </cell>
          <cell r="E132" t="str">
            <v>Test DB Estimates</v>
          </cell>
        </row>
        <row r="133">
          <cell r="D133" t="str">
            <v>Pivot</v>
          </cell>
          <cell r="E133" t="str">
            <v>Main Pivot Table</v>
          </cell>
        </row>
        <row r="134">
          <cell r="D134" t="str">
            <v>Main Table (Rands)</v>
          </cell>
          <cell r="E134" t="str">
            <v>Main Table (Rands)</v>
          </cell>
        </row>
        <row r="135">
          <cell r="D135" t="str">
            <v>Revenue by Function (Rands)</v>
          </cell>
          <cell r="E135" t="str">
            <v>Rev by function</v>
          </cell>
        </row>
        <row r="136">
          <cell r="D136" t="str">
            <v>Main Table (R'000)</v>
          </cell>
          <cell r="E136" t="str">
            <v>MTD / YTD table</v>
          </cell>
        </row>
        <row r="137">
          <cell r="D137" t="str">
            <v>Minister's historical months</v>
          </cell>
          <cell r="E137" t="str">
            <v>Minister table</v>
          </cell>
        </row>
        <row r="138">
          <cell r="D138" t="str">
            <v>Projected Annual Collections</v>
          </cell>
          <cell r="E138" t="str">
            <v>Projected Annual Collections</v>
          </cell>
        </row>
        <row r="139">
          <cell r="D139" t="str">
            <v>Monthly Performance table</v>
          </cell>
          <cell r="E139" t="str">
            <v>Monthly Performance</v>
          </cell>
        </row>
        <row r="140">
          <cell r="D140" t="str">
            <v>Susan Fourie - table 1</v>
          </cell>
          <cell r="E140" t="str">
            <v>Susan Fourie's tables</v>
          </cell>
        </row>
        <row r="141">
          <cell r="D141" t="str">
            <v>Year-on-year actuals</v>
          </cell>
          <cell r="E141" t="str">
            <v>Y-on-y actuals</v>
          </cell>
        </row>
        <row r="142">
          <cell r="D142" t="str">
            <v>Tracking report</v>
          </cell>
          <cell r="E142" t="str">
            <v>Tracking report</v>
          </cell>
        </row>
        <row r="143">
          <cell r="D143" t="str">
            <v>New Exco (base)</v>
          </cell>
          <cell r="E143" t="str">
            <v>New Exco table</v>
          </cell>
        </row>
        <row r="144">
          <cell r="D144" t="str">
            <v>MTD and YTD Gross &amp; Refunds</v>
          </cell>
          <cell r="E144" t="str">
            <v>Gross &amp; refunds</v>
          </cell>
        </row>
        <row r="145">
          <cell r="D145" t="str">
            <v>Outflow Inflow Management MTD</v>
          </cell>
          <cell r="E145" t="str">
            <v>Out / in flow MTD</v>
          </cell>
        </row>
        <row r="146">
          <cell r="D146" t="str">
            <v>Outflow Inflow Management YTD</v>
          </cell>
          <cell r="E146" t="str">
            <v>Out / in flow YTD</v>
          </cell>
        </row>
        <row r="147">
          <cell r="D147" t="str">
            <v>Lookup &amp; list Parameters</v>
          </cell>
          <cell r="E147" t="str">
            <v>Parameters</v>
          </cell>
        </row>
      </sheetData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tes and Explanations"/>
      <sheetName val="Last fy Collection"/>
      <sheetName val="Current data from BI"/>
      <sheetName val="RRA Targets 2023-2024"/>
      <sheetName val="interest_penalty_target_2023_24"/>
      <sheetName val="Quarter Semester Annual perfor"/>
      <sheetName val="Monthly Report"/>
      <sheetName val="Working"/>
      <sheetName val="Monthly data 20211-2014"/>
      <sheetName val="Colletions for BI 2015_2024"/>
      <sheetName val="Actuals"/>
      <sheetName val="Targets"/>
      <sheetName val="Summary for MINECOFIN"/>
      <sheetName val="Summary for MINECOFIN_Penal"/>
      <sheetName val="Broad Categories-Report"/>
      <sheetName val="Broad Categories-Report (2)"/>
      <sheetName val="March version with IMF"/>
      <sheetName val="GFS"/>
      <sheetName val="Inflation"/>
      <sheetName val="Sheet2"/>
      <sheetName val="RRA Format 2018-2019"/>
      <sheetName val="IMF Format 2018-19"/>
      <sheetName val="CIT and PIT"/>
      <sheetName val="PIT-CIT"/>
      <sheetName val="Broad Categories-Graph"/>
      <sheetName val="Department"/>
      <sheetName val="Tax to GDP"/>
      <sheetName val="Summary"/>
      <sheetName val="Dprtmnt Rev.perf Jul-Oct 2016"/>
      <sheetName val="Rev.perf broadCateg.Jul16-Jun17"/>
      <sheetName val="Sheet1"/>
      <sheetName val="Sheet3"/>
      <sheetName val="Sheet5"/>
      <sheetName val="Non Fiscal Target"/>
      <sheetName val="Sheet7"/>
      <sheetName val="Customs"/>
    </sheetNames>
    <sheetDataSet>
      <sheetData sheetId="0" refreshError="1"/>
      <sheetData sheetId="1" refreshError="1"/>
      <sheetData sheetId="2">
        <row r="39">
          <cell r="M39">
            <v>3978916955.7605</v>
          </cell>
          <cell r="N39">
            <v>5470157677.1819477</v>
          </cell>
        </row>
        <row r="52">
          <cell r="AB52">
            <v>3331692381.2224998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8">
          <cell r="J28">
            <v>26086295070.197201</v>
          </cell>
          <cell r="N28">
            <v>12630616690.489</v>
          </cell>
        </row>
        <row r="29">
          <cell r="J29">
            <v>27308569286</v>
          </cell>
          <cell r="N29">
            <v>45269390740</v>
          </cell>
        </row>
        <row r="30">
          <cell r="E30">
            <v>2374564564</v>
          </cell>
          <cell r="I30">
            <v>2411976531</v>
          </cell>
          <cell r="N30">
            <v>36239885431.107262</v>
          </cell>
        </row>
        <row r="31">
          <cell r="E31">
            <v>11362881471</v>
          </cell>
          <cell r="I31">
            <v>11159146720</v>
          </cell>
          <cell r="N31">
            <v>9029505308.8927383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5"/>
  <sheetViews>
    <sheetView zoomScale="110" zoomScaleNormal="110" workbookViewId="0">
      <pane xSplit="2" ySplit="3" topLeftCell="AA4" activePane="bottomRight" state="frozen"/>
      <selection activeCell="D12" sqref="D12"/>
      <selection pane="topRight" activeCell="D12" sqref="D12"/>
      <selection pane="bottomLeft" activeCell="D12" sqref="D12"/>
      <selection pane="bottomRight" activeCell="AE9" sqref="AE9"/>
    </sheetView>
  </sheetViews>
  <sheetFormatPr defaultRowHeight="12.6" x14ac:dyDescent="0.25"/>
  <cols>
    <col min="1" max="1" width="35.33203125" customWidth="1"/>
    <col min="2" max="2" width="17.6640625" customWidth="1"/>
    <col min="3" max="5" width="17.88671875" customWidth="1"/>
    <col min="6" max="7" width="18.109375" customWidth="1"/>
    <col min="8" max="9" width="17.6640625" customWidth="1"/>
    <col min="10" max="10" width="19.44140625" bestFit="1" customWidth="1"/>
    <col min="11" max="13" width="17.6640625" customWidth="1"/>
    <col min="14" max="14" width="19.44140625" customWidth="1"/>
    <col min="15" max="18" width="17.6640625" customWidth="1"/>
    <col min="19" max="19" width="19.44140625" customWidth="1"/>
    <col min="20" max="20" width="17.33203125" customWidth="1"/>
    <col min="21" max="21" width="18" customWidth="1"/>
    <col min="22" max="22" width="17.6640625" customWidth="1"/>
    <col min="23" max="23" width="18.109375" customWidth="1"/>
    <col min="24" max="24" width="17.5546875" customWidth="1"/>
    <col min="25" max="25" width="17.6640625" customWidth="1"/>
    <col min="26" max="27" width="20.5546875" bestFit="1" customWidth="1"/>
    <col min="28" max="28" width="22.33203125" bestFit="1" customWidth="1"/>
    <col min="29" max="32" width="20.5546875" bestFit="1" customWidth="1"/>
  </cols>
  <sheetData>
    <row r="1" spans="1:32" ht="15.6" x14ac:dyDescent="0.3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6"/>
    </row>
    <row r="2" spans="1:32" x14ac:dyDescent="0.25">
      <c r="S2" s="20"/>
    </row>
    <row r="3" spans="1:32" ht="27.6" x14ac:dyDescent="0.25">
      <c r="A3" s="3" t="s">
        <v>0</v>
      </c>
      <c r="B3" s="4">
        <v>44743</v>
      </c>
      <c r="C3" s="4">
        <v>44774</v>
      </c>
      <c r="D3" s="4">
        <v>44805</v>
      </c>
      <c r="E3" s="4" t="s">
        <v>1</v>
      </c>
      <c r="F3" s="4">
        <v>44835</v>
      </c>
      <c r="G3" s="4">
        <v>44866</v>
      </c>
      <c r="H3" s="4">
        <v>44896</v>
      </c>
      <c r="I3" s="4" t="s">
        <v>2</v>
      </c>
      <c r="J3" s="4" t="s">
        <v>3</v>
      </c>
      <c r="K3" s="4">
        <v>44927</v>
      </c>
      <c r="L3" s="4">
        <v>44958</v>
      </c>
      <c r="M3" s="4">
        <v>44986</v>
      </c>
      <c r="N3" s="4" t="s">
        <v>4</v>
      </c>
      <c r="O3" s="4">
        <v>45017</v>
      </c>
      <c r="P3" s="4">
        <v>45047</v>
      </c>
      <c r="Q3" s="4">
        <v>45078</v>
      </c>
      <c r="R3" s="5" t="s">
        <v>5</v>
      </c>
      <c r="S3" s="5" t="s">
        <v>6</v>
      </c>
      <c r="T3" s="4">
        <v>45108</v>
      </c>
      <c r="U3" s="4">
        <v>45139</v>
      </c>
      <c r="V3" s="4">
        <v>45170</v>
      </c>
      <c r="W3" s="4" t="s">
        <v>38</v>
      </c>
      <c r="X3" s="4">
        <v>45200</v>
      </c>
      <c r="Y3" s="4">
        <v>45231</v>
      </c>
      <c r="Z3" s="4">
        <v>45261</v>
      </c>
      <c r="AA3" s="4" t="s">
        <v>2</v>
      </c>
      <c r="AB3" s="4" t="s">
        <v>39</v>
      </c>
      <c r="AC3" s="4">
        <v>45292</v>
      </c>
      <c r="AD3" s="4">
        <v>45323</v>
      </c>
      <c r="AE3" s="4">
        <v>45352</v>
      </c>
      <c r="AF3" s="4" t="s">
        <v>40</v>
      </c>
    </row>
    <row r="4" spans="1:32" ht="15.6" x14ac:dyDescent="0.25">
      <c r="A4" s="3" t="s">
        <v>7</v>
      </c>
      <c r="B4" s="6">
        <v>57752798065</v>
      </c>
      <c r="C4" s="6">
        <v>64182180951</v>
      </c>
      <c r="D4" s="6">
        <v>110655099573</v>
      </c>
      <c r="E4" s="6">
        <v>232590078589</v>
      </c>
      <c r="F4" s="6">
        <v>54724545835.75</v>
      </c>
      <c r="G4" s="6">
        <v>73333601747</v>
      </c>
      <c r="H4" s="6">
        <v>121975182047.33</v>
      </c>
      <c r="I4" s="6">
        <v>250033329630.08002</v>
      </c>
      <c r="J4" s="6">
        <v>482623408219.08002</v>
      </c>
      <c r="K4" s="6">
        <v>67747045642.5</v>
      </c>
      <c r="L4" s="6">
        <v>51052063370</v>
      </c>
      <c r="M4" s="6">
        <v>151906341383</v>
      </c>
      <c r="N4" s="6">
        <v>270705450395.5</v>
      </c>
      <c r="O4" s="6">
        <v>91111946560</v>
      </c>
      <c r="P4" s="6">
        <v>70058552693.220001</v>
      </c>
      <c r="Q4" s="6">
        <v>145671485925.71994</v>
      </c>
      <c r="R4" s="6">
        <v>306841985178.93994</v>
      </c>
      <c r="S4" s="6">
        <v>1060170843793.52</v>
      </c>
      <c r="T4" s="6">
        <v>72965021332</v>
      </c>
      <c r="U4" s="6">
        <v>72063454140</v>
      </c>
      <c r="V4" s="6">
        <v>112193973259</v>
      </c>
      <c r="W4" s="6">
        <v>257222448731</v>
      </c>
      <c r="X4" s="6">
        <v>83142949390</v>
      </c>
      <c r="Y4" s="6">
        <v>71982036935</v>
      </c>
      <c r="Z4" s="6">
        <v>130864218883.75999</v>
      </c>
      <c r="AA4" s="6">
        <v>285989205208.76001</v>
      </c>
      <c r="AB4" s="6">
        <v>543211653939.76001</v>
      </c>
      <c r="AC4" s="6">
        <v>88180214958.5</v>
      </c>
      <c r="AD4" s="6">
        <v>66304395379</v>
      </c>
      <c r="AE4" s="6">
        <v>93235650080</v>
      </c>
      <c r="AF4" s="6">
        <v>247720260417.5</v>
      </c>
    </row>
    <row r="5" spans="1:32" ht="15.6" x14ac:dyDescent="0.25">
      <c r="A5" s="7" t="s">
        <v>8</v>
      </c>
      <c r="B5" s="8">
        <v>35989342374</v>
      </c>
      <c r="C5" s="8">
        <v>43528584793</v>
      </c>
      <c r="D5" s="8">
        <v>47056621029</v>
      </c>
      <c r="E5" s="8">
        <v>126574548196</v>
      </c>
      <c r="F5" s="8">
        <v>36914959699</v>
      </c>
      <c r="G5" s="8">
        <v>44173963527</v>
      </c>
      <c r="H5" s="8">
        <v>44307071640</v>
      </c>
      <c r="I5" s="8">
        <v>125395994866</v>
      </c>
      <c r="J5" s="8">
        <v>251970543062</v>
      </c>
      <c r="K5" s="8">
        <v>44671434915</v>
      </c>
      <c r="L5" s="8">
        <v>37888466651</v>
      </c>
      <c r="M5" s="8">
        <v>46323060384</v>
      </c>
      <c r="N5" s="8">
        <v>128882961950</v>
      </c>
      <c r="O5" s="8">
        <v>44913935954</v>
      </c>
      <c r="P5" s="8">
        <v>43062428270</v>
      </c>
      <c r="Q5" s="8">
        <v>51117115209</v>
      </c>
      <c r="R5" s="8">
        <v>139093479433</v>
      </c>
      <c r="S5" s="8">
        <v>519946984445</v>
      </c>
      <c r="T5" s="8">
        <v>43593125621</v>
      </c>
      <c r="U5" s="8">
        <v>47744312688</v>
      </c>
      <c r="V5" s="8">
        <v>48067709396</v>
      </c>
      <c r="W5" s="8">
        <v>139405147705</v>
      </c>
      <c r="X5" s="8">
        <v>46106239963</v>
      </c>
      <c r="Y5" s="8">
        <v>50563359332</v>
      </c>
      <c r="Z5" s="8">
        <v>45727876092</v>
      </c>
      <c r="AA5" s="8">
        <v>142397475387</v>
      </c>
      <c r="AB5" s="8">
        <v>281802623092</v>
      </c>
      <c r="AC5" s="8">
        <v>50209880702</v>
      </c>
      <c r="AD5" s="8">
        <v>46197190226</v>
      </c>
      <c r="AE5" s="8">
        <v>46596771454</v>
      </c>
      <c r="AF5" s="8">
        <v>143003842382</v>
      </c>
    </row>
    <row r="6" spans="1:32" ht="15.6" x14ac:dyDescent="0.25">
      <c r="A6" s="7" t="s">
        <v>34</v>
      </c>
      <c r="B6" s="27">
        <v>440581606</v>
      </c>
      <c r="C6" s="27">
        <v>205462168</v>
      </c>
      <c r="D6" s="27">
        <v>166003316</v>
      </c>
      <c r="E6" s="27">
        <v>812082355.55367696</v>
      </c>
      <c r="F6" s="27">
        <v>346093412</v>
      </c>
      <c r="G6" s="27">
        <v>165284234</v>
      </c>
      <c r="H6" s="27">
        <v>259319428</v>
      </c>
      <c r="I6" s="27">
        <v>770697074</v>
      </c>
      <c r="J6" s="27">
        <v>1582779429.5536771</v>
      </c>
      <c r="K6" s="27">
        <v>92110861</v>
      </c>
      <c r="L6" s="27">
        <v>72315671</v>
      </c>
      <c r="M6" s="27">
        <v>295115911</v>
      </c>
      <c r="N6" s="27">
        <v>459542443</v>
      </c>
      <c r="O6" s="27">
        <v>108734468</v>
      </c>
      <c r="P6" s="27">
        <v>134499667</v>
      </c>
      <c r="Q6" s="27">
        <v>217643546</v>
      </c>
      <c r="R6" s="27">
        <v>460877681</v>
      </c>
      <c r="S6" s="27">
        <v>2503199553.5536771</v>
      </c>
      <c r="T6" s="27">
        <v>174947951</v>
      </c>
      <c r="U6" s="27">
        <v>176657162</v>
      </c>
      <c r="V6" s="27">
        <v>410658532</v>
      </c>
      <c r="W6" s="27">
        <v>762263645</v>
      </c>
      <c r="X6" s="27">
        <v>195677469</v>
      </c>
      <c r="Y6" s="27">
        <v>123192994</v>
      </c>
      <c r="Z6" s="27">
        <v>217797283</v>
      </c>
      <c r="AA6" s="27">
        <v>550960504</v>
      </c>
      <c r="AB6" s="27">
        <v>1313272865</v>
      </c>
      <c r="AC6" s="27">
        <v>63529824</v>
      </c>
      <c r="AD6" s="27">
        <v>128852746</v>
      </c>
      <c r="AE6" s="27">
        <v>315428596</v>
      </c>
      <c r="AF6" s="27">
        <v>507811166</v>
      </c>
    </row>
    <row r="7" spans="1:32" ht="15.6" x14ac:dyDescent="0.25">
      <c r="A7" s="7" t="s">
        <v>9</v>
      </c>
      <c r="B7" s="8">
        <v>1194557539</v>
      </c>
      <c r="C7" s="8">
        <v>2275498152</v>
      </c>
      <c r="D7" s="8">
        <v>40864715599</v>
      </c>
      <c r="E7" s="8">
        <v>44334771290</v>
      </c>
      <c r="F7" s="8">
        <v>1906520918.75</v>
      </c>
      <c r="G7" s="8">
        <v>1817486409</v>
      </c>
      <c r="H7" s="8">
        <v>44132299004</v>
      </c>
      <c r="I7" s="8">
        <v>47856306331.75</v>
      </c>
      <c r="J7" s="8">
        <v>92191077621.75</v>
      </c>
      <c r="K7" s="8">
        <v>3414394000</v>
      </c>
      <c r="L7" s="8">
        <v>1376831670</v>
      </c>
      <c r="M7" s="8">
        <v>76030030440</v>
      </c>
      <c r="N7" s="8">
        <v>80821256110</v>
      </c>
      <c r="O7" s="8">
        <v>23822910560</v>
      </c>
      <c r="P7" s="8">
        <v>4946069882.1900005</v>
      </c>
      <c r="Q7" s="8">
        <v>54587134003.25</v>
      </c>
      <c r="R7" s="8">
        <v>83356114445.440002</v>
      </c>
      <c r="S7" s="8">
        <v>256368448177.19</v>
      </c>
      <c r="T7" s="8">
        <v>3889617391</v>
      </c>
      <c r="U7" s="8">
        <v>1922250258</v>
      </c>
      <c r="V7" s="8">
        <v>46659390238</v>
      </c>
      <c r="W7" s="8">
        <v>52471257887</v>
      </c>
      <c r="X7" s="8">
        <v>16243564328</v>
      </c>
      <c r="Y7" s="8">
        <v>2646904806</v>
      </c>
      <c r="Z7" s="8">
        <v>62447695983</v>
      </c>
      <c r="AA7" s="8">
        <v>81338165117</v>
      </c>
      <c r="AB7" s="8">
        <v>133809423004</v>
      </c>
      <c r="AC7" s="8">
        <v>12996712659</v>
      </c>
      <c r="AD7" s="8">
        <v>3102993473</v>
      </c>
      <c r="AE7" s="8">
        <v>28836024534</v>
      </c>
      <c r="AF7" s="8">
        <v>44935730666</v>
      </c>
    </row>
    <row r="8" spans="1:32" ht="15.6" x14ac:dyDescent="0.25">
      <c r="A8" s="7" t="s">
        <v>34</v>
      </c>
      <c r="B8" s="27">
        <v>301006086</v>
      </c>
      <c r="C8" s="27">
        <v>573698149</v>
      </c>
      <c r="D8" s="27">
        <v>496014698</v>
      </c>
      <c r="E8" s="27">
        <v>1370718933</v>
      </c>
      <c r="F8" s="27">
        <v>459385674</v>
      </c>
      <c r="G8" s="27">
        <v>202889430</v>
      </c>
      <c r="H8" s="27">
        <v>282725028</v>
      </c>
      <c r="I8" s="27">
        <v>945000132</v>
      </c>
      <c r="J8" s="27">
        <v>2315719065</v>
      </c>
      <c r="K8" s="27">
        <v>174140383</v>
      </c>
      <c r="L8" s="27">
        <v>192562971</v>
      </c>
      <c r="M8" s="27">
        <v>297965627</v>
      </c>
      <c r="N8" s="27">
        <v>664668981</v>
      </c>
      <c r="O8" s="27">
        <v>507073537</v>
      </c>
      <c r="P8" s="27">
        <v>180405680.19</v>
      </c>
      <c r="Q8" s="27">
        <v>302586948</v>
      </c>
      <c r="R8" s="27">
        <v>990066165.19000006</v>
      </c>
      <c r="S8" s="27">
        <v>3970454211.1900001</v>
      </c>
      <c r="T8" s="27">
        <v>302570884</v>
      </c>
      <c r="U8" s="27">
        <v>215138454</v>
      </c>
      <c r="V8" s="27">
        <v>285384891</v>
      </c>
      <c r="W8" s="27">
        <v>803094229</v>
      </c>
      <c r="X8" s="27">
        <v>202214732</v>
      </c>
      <c r="Y8" s="27">
        <v>198381194</v>
      </c>
      <c r="Z8" s="27">
        <v>242435045</v>
      </c>
      <c r="AA8" s="27">
        <v>596797793</v>
      </c>
      <c r="AB8" s="27">
        <v>1399905206</v>
      </c>
      <c r="AC8" s="27">
        <v>158099272</v>
      </c>
      <c r="AD8" s="27">
        <v>318746304</v>
      </c>
      <c r="AE8" s="27">
        <v>255138030</v>
      </c>
      <c r="AF8" s="27">
        <v>731983606</v>
      </c>
    </row>
    <row r="9" spans="1:32" ht="15.6" x14ac:dyDescent="0.25">
      <c r="A9" s="7" t="s">
        <v>10</v>
      </c>
      <c r="B9" s="8">
        <v>15684033851</v>
      </c>
      <c r="C9" s="8">
        <v>11765918473</v>
      </c>
      <c r="D9" s="8">
        <v>17883630769</v>
      </c>
      <c r="E9" s="8">
        <v>45333583093</v>
      </c>
      <c r="F9" s="8">
        <v>10501334928</v>
      </c>
      <c r="G9" s="8">
        <v>22011939943</v>
      </c>
      <c r="H9" s="8">
        <v>28271514605.330002</v>
      </c>
      <c r="I9" s="8">
        <v>60784789476.330002</v>
      </c>
      <c r="J9" s="8">
        <v>106118372569.33</v>
      </c>
      <c r="K9" s="8">
        <v>14703000645.5</v>
      </c>
      <c r="L9" s="8">
        <v>6902071978</v>
      </c>
      <c r="M9" s="8">
        <v>23815187545</v>
      </c>
      <c r="N9" s="8">
        <v>45420260168.5</v>
      </c>
      <c r="O9" s="8">
        <v>17757727377</v>
      </c>
      <c r="P9" s="8">
        <v>16866433475.029999</v>
      </c>
      <c r="Q9" s="8">
        <v>33290725788.469936</v>
      </c>
      <c r="R9" s="8">
        <v>67914886640.499939</v>
      </c>
      <c r="S9" s="8">
        <v>219453519378.32996</v>
      </c>
      <c r="T9" s="8">
        <v>19778164711</v>
      </c>
      <c r="U9" s="8">
        <v>17371435848</v>
      </c>
      <c r="V9" s="8">
        <v>12718912217</v>
      </c>
      <c r="W9" s="8">
        <v>49868512776</v>
      </c>
      <c r="X9" s="8">
        <v>15609035762</v>
      </c>
      <c r="Y9" s="8">
        <v>13895436206</v>
      </c>
      <c r="Z9" s="8">
        <v>17305463059</v>
      </c>
      <c r="AA9" s="8">
        <v>46809935027</v>
      </c>
      <c r="AB9" s="8">
        <v>96678447803</v>
      </c>
      <c r="AC9" s="8">
        <v>20132619152.5</v>
      </c>
      <c r="AD9" s="8">
        <v>11154593567</v>
      </c>
      <c r="AE9" s="8">
        <v>11170602888</v>
      </c>
      <c r="AF9" s="8">
        <v>42457815607.5</v>
      </c>
    </row>
    <row r="10" spans="1:32" ht="15.6" x14ac:dyDescent="0.25">
      <c r="A10" s="7" t="s">
        <v>34</v>
      </c>
      <c r="B10" s="27">
        <v>403925960</v>
      </c>
      <c r="C10" s="27">
        <v>390384920</v>
      </c>
      <c r="D10" s="27">
        <v>83283835</v>
      </c>
      <c r="E10" s="27">
        <v>877594715</v>
      </c>
      <c r="F10" s="27">
        <v>218879080</v>
      </c>
      <c r="G10" s="27">
        <v>57275906</v>
      </c>
      <c r="H10" s="27">
        <v>305948522</v>
      </c>
      <c r="I10" s="27">
        <v>582103508</v>
      </c>
      <c r="J10" s="27">
        <v>1459698223</v>
      </c>
      <c r="K10" s="27">
        <v>95957503</v>
      </c>
      <c r="L10" s="27">
        <v>20456763</v>
      </c>
      <c r="M10" s="27">
        <v>388664392</v>
      </c>
      <c r="N10" s="27">
        <v>505078658</v>
      </c>
      <c r="O10" s="27">
        <v>52522158</v>
      </c>
      <c r="P10" s="27">
        <v>216331401</v>
      </c>
      <c r="Q10" s="27">
        <v>121972445</v>
      </c>
      <c r="R10" s="27">
        <v>390826004</v>
      </c>
      <c r="S10" s="27">
        <v>2355602885</v>
      </c>
      <c r="T10" s="27">
        <v>66374547</v>
      </c>
      <c r="U10" s="27">
        <v>69285649</v>
      </c>
      <c r="V10" s="27">
        <v>113458643</v>
      </c>
      <c r="W10" s="27">
        <v>249118839</v>
      </c>
      <c r="X10" s="27">
        <v>74814618</v>
      </c>
      <c r="Y10" s="27">
        <v>105897470</v>
      </c>
      <c r="Z10" s="27">
        <v>76026746</v>
      </c>
      <c r="AA10" s="27">
        <v>271389246</v>
      </c>
      <c r="AB10" s="27">
        <v>561511702</v>
      </c>
      <c r="AC10" s="27">
        <v>42160495</v>
      </c>
      <c r="AD10" s="27">
        <v>36545910</v>
      </c>
      <c r="AE10" s="27">
        <v>244447027</v>
      </c>
      <c r="AF10" s="27">
        <v>323153432</v>
      </c>
    </row>
    <row r="11" spans="1:32" ht="15.6" x14ac:dyDescent="0.25">
      <c r="A11" s="7" t="s">
        <v>11</v>
      </c>
      <c r="B11" s="8">
        <v>1651912117</v>
      </c>
      <c r="C11" s="8">
        <v>2727133788</v>
      </c>
      <c r="D11" s="8">
        <v>1245916981</v>
      </c>
      <c r="E11" s="8">
        <v>5624962886</v>
      </c>
      <c r="F11" s="8">
        <v>2237686477</v>
      </c>
      <c r="G11" s="8">
        <v>1852120743</v>
      </c>
      <c r="H11" s="8">
        <v>1829303525</v>
      </c>
      <c r="I11" s="8">
        <v>5919110745</v>
      </c>
      <c r="J11" s="8">
        <v>11544073631</v>
      </c>
      <c r="K11" s="8">
        <v>1821358155</v>
      </c>
      <c r="L11" s="8">
        <v>1162156190</v>
      </c>
      <c r="M11" s="8">
        <v>2147027854</v>
      </c>
      <c r="N11" s="8">
        <v>5130542199</v>
      </c>
      <c r="O11" s="8">
        <v>1663150445</v>
      </c>
      <c r="P11" s="8">
        <v>1644528845</v>
      </c>
      <c r="Q11" s="8">
        <v>3367613480</v>
      </c>
      <c r="R11" s="8">
        <v>6675292770</v>
      </c>
      <c r="S11" s="8">
        <v>23349908600</v>
      </c>
      <c r="T11" s="8">
        <v>2330081978</v>
      </c>
      <c r="U11" s="8">
        <v>1513455346</v>
      </c>
      <c r="V11" s="8">
        <v>1391643677</v>
      </c>
      <c r="W11" s="8">
        <v>5235181001</v>
      </c>
      <c r="X11" s="8">
        <v>1876334224</v>
      </c>
      <c r="Y11" s="8">
        <v>1641920381</v>
      </c>
      <c r="Z11" s="8">
        <v>2058982161.76</v>
      </c>
      <c r="AA11" s="8">
        <v>5577236766.7600002</v>
      </c>
      <c r="AB11" s="8">
        <v>10812417767.76</v>
      </c>
      <c r="AC11" s="8">
        <v>1605140215</v>
      </c>
      <c r="AD11" s="8">
        <v>1677308789</v>
      </c>
      <c r="AE11" s="8">
        <v>1755333747</v>
      </c>
      <c r="AF11" s="8">
        <v>5037782751</v>
      </c>
    </row>
    <row r="12" spans="1:32" ht="15.6" x14ac:dyDescent="0.25">
      <c r="A12" s="7" t="s">
        <v>34</v>
      </c>
      <c r="B12" s="27">
        <v>1887027</v>
      </c>
      <c r="C12" s="27">
        <v>2022358</v>
      </c>
      <c r="D12" s="27">
        <v>979900</v>
      </c>
      <c r="E12" s="27">
        <v>4889285</v>
      </c>
      <c r="F12" s="27">
        <v>9614184</v>
      </c>
      <c r="G12" s="27">
        <v>1673391</v>
      </c>
      <c r="H12" s="27">
        <v>7360504</v>
      </c>
      <c r="I12" s="27">
        <v>18648079</v>
      </c>
      <c r="J12" s="27">
        <v>23537364</v>
      </c>
      <c r="K12" s="27">
        <v>2658677</v>
      </c>
      <c r="L12" s="27">
        <v>922804</v>
      </c>
      <c r="M12" s="27">
        <v>2856128</v>
      </c>
      <c r="N12" s="27">
        <v>6437609</v>
      </c>
      <c r="O12" s="27">
        <v>5078626</v>
      </c>
      <c r="P12" s="27">
        <v>1740611</v>
      </c>
      <c r="Q12" s="27">
        <v>7117723</v>
      </c>
      <c r="R12" s="27">
        <v>13936960</v>
      </c>
      <c r="S12" s="27">
        <v>43911933</v>
      </c>
      <c r="T12" s="27">
        <v>1478730</v>
      </c>
      <c r="U12" s="27">
        <v>500497</v>
      </c>
      <c r="V12" s="27">
        <v>535333</v>
      </c>
      <c r="W12" s="27">
        <v>2514560</v>
      </c>
      <c r="X12" s="27">
        <v>3419273</v>
      </c>
      <c r="Y12" s="27">
        <v>787693</v>
      </c>
      <c r="Z12" s="27">
        <v>4887820</v>
      </c>
      <c r="AA12" s="27">
        <v>9094786</v>
      </c>
      <c r="AB12" s="27">
        <v>11982726</v>
      </c>
      <c r="AC12" s="27">
        <v>966707</v>
      </c>
      <c r="AD12" s="27">
        <v>507062</v>
      </c>
      <c r="AE12" s="27">
        <v>895563</v>
      </c>
      <c r="AF12" s="27">
        <v>2369332</v>
      </c>
    </row>
    <row r="13" spans="1:32" ht="15.6" x14ac:dyDescent="0.25">
      <c r="A13" s="7" t="s">
        <v>12</v>
      </c>
      <c r="B13" s="8">
        <v>2869255012</v>
      </c>
      <c r="C13" s="8">
        <v>3417475510</v>
      </c>
      <c r="D13" s="8">
        <v>3217685266</v>
      </c>
      <c r="E13" s="8">
        <v>9504415788</v>
      </c>
      <c r="F13" s="8">
        <v>2735157813</v>
      </c>
      <c r="G13" s="8">
        <v>3001704358</v>
      </c>
      <c r="H13" s="8">
        <v>3032326620</v>
      </c>
      <c r="I13" s="8">
        <v>8769188791</v>
      </c>
      <c r="J13" s="8">
        <v>18273604579</v>
      </c>
      <c r="K13" s="8">
        <v>2754888665</v>
      </c>
      <c r="L13" s="8">
        <v>3328274764</v>
      </c>
      <c r="M13" s="8">
        <v>3077633188</v>
      </c>
      <c r="N13" s="8">
        <v>9160796617</v>
      </c>
      <c r="O13" s="8">
        <v>2445755350</v>
      </c>
      <c r="P13" s="8">
        <v>2943743354</v>
      </c>
      <c r="Q13" s="8">
        <v>2799853441</v>
      </c>
      <c r="R13" s="8">
        <v>8189352145</v>
      </c>
      <c r="S13" s="8">
        <v>35623753341</v>
      </c>
      <c r="T13" s="8">
        <v>2904653233</v>
      </c>
      <c r="U13" s="8">
        <v>3081420140</v>
      </c>
      <c r="V13" s="8">
        <v>2848888934</v>
      </c>
      <c r="W13" s="8">
        <v>8834962307</v>
      </c>
      <c r="X13" s="8">
        <v>2856924070</v>
      </c>
      <c r="Y13" s="8">
        <v>2775783676</v>
      </c>
      <c r="Z13" s="8">
        <v>2889389280</v>
      </c>
      <c r="AA13" s="8">
        <v>8522097026</v>
      </c>
      <c r="AB13" s="8">
        <v>17357059333</v>
      </c>
      <c r="AC13" s="8">
        <v>2683154275</v>
      </c>
      <c r="AD13" s="8">
        <v>3725875893</v>
      </c>
      <c r="AE13" s="8">
        <v>4433955803</v>
      </c>
      <c r="AF13" s="8">
        <v>10842985971</v>
      </c>
    </row>
    <row r="14" spans="1:32" ht="15.6" x14ac:dyDescent="0.25">
      <c r="A14" s="7" t="s">
        <v>13</v>
      </c>
      <c r="B14" s="8">
        <v>363697172</v>
      </c>
      <c r="C14" s="8">
        <v>467570235</v>
      </c>
      <c r="D14" s="8">
        <v>386529929</v>
      </c>
      <c r="E14" s="8">
        <v>1217797336</v>
      </c>
      <c r="F14" s="8">
        <v>428886000</v>
      </c>
      <c r="G14" s="8">
        <v>476386767</v>
      </c>
      <c r="H14" s="8">
        <v>402666653</v>
      </c>
      <c r="I14" s="8">
        <v>1307939420</v>
      </c>
      <c r="J14" s="8">
        <v>2525736756</v>
      </c>
      <c r="K14" s="8">
        <v>381969262</v>
      </c>
      <c r="L14" s="8">
        <v>394262117</v>
      </c>
      <c r="M14" s="8">
        <v>513401972</v>
      </c>
      <c r="N14" s="8">
        <v>1289633351</v>
      </c>
      <c r="O14" s="8">
        <v>508466874</v>
      </c>
      <c r="P14" s="8">
        <v>595348867</v>
      </c>
      <c r="Q14" s="8">
        <v>509044004</v>
      </c>
      <c r="R14" s="8">
        <v>1612859745</v>
      </c>
      <c r="S14" s="8">
        <v>5428229852</v>
      </c>
      <c r="T14" s="8">
        <v>469378398</v>
      </c>
      <c r="U14" s="8">
        <v>430579860</v>
      </c>
      <c r="V14" s="8">
        <v>507428797</v>
      </c>
      <c r="W14" s="8">
        <v>1407387055</v>
      </c>
      <c r="X14" s="8">
        <v>450851043</v>
      </c>
      <c r="Y14" s="8">
        <v>458632534</v>
      </c>
      <c r="Z14" s="8">
        <v>434812308</v>
      </c>
      <c r="AA14" s="8">
        <v>1344295885</v>
      </c>
      <c r="AB14" s="8">
        <v>2751682940</v>
      </c>
      <c r="AC14" s="8">
        <v>552707955</v>
      </c>
      <c r="AD14" s="8">
        <v>446433431</v>
      </c>
      <c r="AE14" s="8">
        <v>442961654</v>
      </c>
      <c r="AF14" s="8">
        <v>1442103040</v>
      </c>
    </row>
    <row r="15" spans="1:32" ht="15.6" x14ac:dyDescent="0.25">
      <c r="A15" s="7" t="s">
        <v>34</v>
      </c>
      <c r="B15" s="27">
        <v>2192161</v>
      </c>
      <c r="C15" s="27">
        <v>3889693</v>
      </c>
      <c r="D15" s="27">
        <v>4533134</v>
      </c>
      <c r="E15" s="27">
        <v>10614988</v>
      </c>
      <c r="F15" s="27">
        <v>2308198</v>
      </c>
      <c r="G15" s="27">
        <v>4454610</v>
      </c>
      <c r="H15" s="27">
        <v>6715829</v>
      </c>
      <c r="I15" s="27">
        <v>13478637</v>
      </c>
      <c r="J15" s="27">
        <v>24093625</v>
      </c>
      <c r="K15" s="27">
        <v>1246589</v>
      </c>
      <c r="L15" s="27">
        <v>3846126</v>
      </c>
      <c r="M15" s="27">
        <v>3193411</v>
      </c>
      <c r="N15" s="27">
        <v>8286126</v>
      </c>
      <c r="O15" s="27">
        <v>2305736</v>
      </c>
      <c r="P15" s="27">
        <v>2089858</v>
      </c>
      <c r="Q15" s="27">
        <v>5179198</v>
      </c>
      <c r="R15" s="27">
        <v>9574792</v>
      </c>
      <c r="S15" s="27">
        <v>41954543</v>
      </c>
      <c r="T15" s="27">
        <v>1478730</v>
      </c>
      <c r="U15" s="27">
        <v>2823003</v>
      </c>
      <c r="V15" s="27">
        <v>3600522</v>
      </c>
      <c r="W15" s="27">
        <v>7902255</v>
      </c>
      <c r="X15" s="27">
        <v>3172626</v>
      </c>
      <c r="Y15" s="27">
        <v>5441760</v>
      </c>
      <c r="Z15" s="27">
        <v>2585813</v>
      </c>
      <c r="AA15" s="27">
        <v>11200199</v>
      </c>
      <c r="AB15" s="27">
        <v>21338093</v>
      </c>
      <c r="AC15" s="27">
        <v>1880470</v>
      </c>
      <c r="AD15" s="27">
        <v>831704</v>
      </c>
      <c r="AE15" s="27">
        <v>1927884</v>
      </c>
      <c r="AF15" s="27">
        <v>4640058</v>
      </c>
    </row>
    <row r="16" spans="1:32" ht="15.6" x14ac:dyDescent="0.25">
      <c r="A16" s="3" t="s">
        <v>14</v>
      </c>
      <c r="B16" s="6">
        <v>78316718643.889496</v>
      </c>
      <c r="C16" s="6">
        <v>94016765956.523468</v>
      </c>
      <c r="D16" s="6">
        <v>92643695289.626572</v>
      </c>
      <c r="E16" s="6">
        <v>264977179890.03955</v>
      </c>
      <c r="F16" s="6">
        <v>79353611914.856003</v>
      </c>
      <c r="G16" s="6">
        <v>82173821855.290604</v>
      </c>
      <c r="H16" s="6">
        <v>93492767210.381866</v>
      </c>
      <c r="I16" s="6">
        <v>255020200980.5285</v>
      </c>
      <c r="J16" s="6">
        <v>519997380870.56805</v>
      </c>
      <c r="K16" s="6">
        <v>91806278299.824585</v>
      </c>
      <c r="L16" s="6">
        <v>80228474998.778305</v>
      </c>
      <c r="M16" s="6">
        <v>93969747996.079987</v>
      </c>
      <c r="N16" s="6">
        <v>266004501294.68289</v>
      </c>
      <c r="O16" s="6">
        <v>82791823656.182236</v>
      </c>
      <c r="P16" s="6">
        <v>87263114775.134201</v>
      </c>
      <c r="Q16" s="6">
        <v>101734001008.27759</v>
      </c>
      <c r="R16" s="6">
        <v>271788939439.59406</v>
      </c>
      <c r="S16" s="6">
        <v>1057790821604.845</v>
      </c>
      <c r="T16" s="6">
        <v>94935030612.000015</v>
      </c>
      <c r="U16" s="6">
        <v>97121334040.349991</v>
      </c>
      <c r="V16" s="6">
        <v>93820570708.100006</v>
      </c>
      <c r="W16" s="6">
        <v>285876935360.45001</v>
      </c>
      <c r="X16" s="6">
        <v>97256868470.051407</v>
      </c>
      <c r="Y16" s="6">
        <v>92695920053.668304</v>
      </c>
      <c r="Z16" s="6">
        <v>95884921721.18309</v>
      </c>
      <c r="AA16" s="6">
        <v>285837710244.90277</v>
      </c>
      <c r="AB16" s="6">
        <v>571714645605.35278</v>
      </c>
      <c r="AC16" s="6">
        <v>105711411096.8797</v>
      </c>
      <c r="AD16" s="6">
        <v>90387888772.053192</v>
      </c>
      <c r="AE16" s="6">
        <v>93423801000.809204</v>
      </c>
      <c r="AF16" s="6">
        <v>289523100869.74207</v>
      </c>
    </row>
    <row r="17" spans="1:32" ht="15.6" x14ac:dyDescent="0.25">
      <c r="A17" s="29" t="s">
        <v>15</v>
      </c>
      <c r="B17" s="8">
        <v>52688941186.655014</v>
      </c>
      <c r="C17" s="8">
        <v>63369590198.667953</v>
      </c>
      <c r="D17" s="8">
        <v>59917677790.732086</v>
      </c>
      <c r="E17" s="8">
        <v>175976209176.05505</v>
      </c>
      <c r="F17" s="8">
        <v>51776998360.559998</v>
      </c>
      <c r="G17" s="8">
        <v>54562086252.080002</v>
      </c>
      <c r="H17" s="8">
        <v>62420159814.554909</v>
      </c>
      <c r="I17" s="8">
        <v>168759244427.19492</v>
      </c>
      <c r="J17" s="8">
        <v>344735453603.25</v>
      </c>
      <c r="K17" s="8">
        <v>61311017117.015999</v>
      </c>
      <c r="L17" s="8">
        <v>50483003199.9655</v>
      </c>
      <c r="M17" s="8">
        <v>62560422857.400002</v>
      </c>
      <c r="N17" s="8">
        <v>174354443174.3815</v>
      </c>
      <c r="O17" s="8">
        <v>53962884196.441673</v>
      </c>
      <c r="P17" s="8">
        <v>57453188196.25</v>
      </c>
      <c r="Q17" s="8">
        <v>68271418800.681793</v>
      </c>
      <c r="R17" s="8">
        <v>179687491193.37347</v>
      </c>
      <c r="S17" s="8">
        <v>698777387971.005</v>
      </c>
      <c r="T17" s="8">
        <v>62212677141.200012</v>
      </c>
      <c r="U17" s="8">
        <v>60378791972.649994</v>
      </c>
      <c r="V17" s="8">
        <v>58799007178.779999</v>
      </c>
      <c r="W17" s="8">
        <v>181390476292.63</v>
      </c>
      <c r="X17" s="8">
        <v>64443055477.25</v>
      </c>
      <c r="Y17" s="8">
        <v>60363441553.459503</v>
      </c>
      <c r="Z17" s="8">
        <v>62918524370.703102</v>
      </c>
      <c r="AA17" s="8">
        <v>187725021401.4126</v>
      </c>
      <c r="AB17" s="8">
        <v>369115497694.0426</v>
      </c>
      <c r="AC17" s="8">
        <v>71282005230.572495</v>
      </c>
      <c r="AD17" s="8">
        <v>57162230616.029999</v>
      </c>
      <c r="AE17" s="8">
        <v>59026555181.419998</v>
      </c>
      <c r="AF17" s="8">
        <v>187470791028.02249</v>
      </c>
    </row>
    <row r="18" spans="1:32" ht="15.6" x14ac:dyDescent="0.25">
      <c r="A18" s="9" t="s">
        <v>16</v>
      </c>
      <c r="B18" s="8">
        <v>18621550163.040001</v>
      </c>
      <c r="C18" s="8">
        <v>20138561733.84</v>
      </c>
      <c r="D18" s="8">
        <v>19065575122.880001</v>
      </c>
      <c r="E18" s="8">
        <v>57825687019.76001</v>
      </c>
      <c r="F18" s="8">
        <v>17143206107.280001</v>
      </c>
      <c r="G18" s="8">
        <v>19147330649.919998</v>
      </c>
      <c r="H18" s="8">
        <v>19748852192.959999</v>
      </c>
      <c r="I18" s="8">
        <v>56039388950.159996</v>
      </c>
      <c r="J18" s="8">
        <v>113865075969.92001</v>
      </c>
      <c r="K18" s="8">
        <v>17031914361.32</v>
      </c>
      <c r="L18" s="8">
        <v>16660494642.299999</v>
      </c>
      <c r="M18" s="8">
        <v>18120452812.400002</v>
      </c>
      <c r="N18" s="8">
        <v>51812861816.020004</v>
      </c>
      <c r="O18" s="8">
        <v>14710239755.379999</v>
      </c>
      <c r="P18" s="8">
        <v>19537883590.799999</v>
      </c>
      <c r="Q18" s="8">
        <v>17879810866.299999</v>
      </c>
      <c r="R18" s="8">
        <v>52127934212.479996</v>
      </c>
      <c r="S18" s="8">
        <v>217805871998.42001</v>
      </c>
      <c r="T18" s="8">
        <v>19154682453.049999</v>
      </c>
      <c r="U18" s="8">
        <v>18983688424.799999</v>
      </c>
      <c r="V18" s="8">
        <v>17355382125.529999</v>
      </c>
      <c r="W18" s="8">
        <v>55493753003.379997</v>
      </c>
      <c r="X18" s="8">
        <v>17272065367.549999</v>
      </c>
      <c r="Y18" s="8">
        <v>17127093268.23</v>
      </c>
      <c r="Z18" s="8">
        <v>18047490047.810001</v>
      </c>
      <c r="AA18" s="8">
        <v>52446648683.589996</v>
      </c>
      <c r="AB18" s="8">
        <v>107940401686.97</v>
      </c>
      <c r="AC18" s="8">
        <v>18442679153.110001</v>
      </c>
      <c r="AD18" s="8">
        <v>17468290481.880001</v>
      </c>
      <c r="AE18" s="8">
        <v>18213518315.77</v>
      </c>
      <c r="AF18" s="8">
        <v>54124487950.76001</v>
      </c>
    </row>
    <row r="19" spans="1:32" ht="15.6" x14ac:dyDescent="0.25">
      <c r="A19" s="9" t="s">
        <v>17</v>
      </c>
      <c r="B19" s="8">
        <v>34067391023.615009</v>
      </c>
      <c r="C19" s="8">
        <v>43231028464.82795</v>
      </c>
      <c r="D19" s="8">
        <v>40852102667.852081</v>
      </c>
      <c r="E19" s="8">
        <v>118150522156.29504</v>
      </c>
      <c r="F19" s="8">
        <v>34633792253.279999</v>
      </c>
      <c r="G19" s="8">
        <v>35414755602.160004</v>
      </c>
      <c r="H19" s="8">
        <v>42671307621.59491</v>
      </c>
      <c r="I19" s="8">
        <v>112719855477.03491</v>
      </c>
      <c r="J19" s="8">
        <v>230870377633.32996</v>
      </c>
      <c r="K19" s="8">
        <v>44279102755.695999</v>
      </c>
      <c r="L19" s="8">
        <v>33822508557.665497</v>
      </c>
      <c r="M19" s="8">
        <v>44439970045</v>
      </c>
      <c r="N19" s="8">
        <v>122541581358.3615</v>
      </c>
      <c r="O19" s="8">
        <v>39252644441.061676</v>
      </c>
      <c r="P19" s="8">
        <v>37915304605.449997</v>
      </c>
      <c r="Q19" s="8">
        <v>50391607934.381798</v>
      </c>
      <c r="R19" s="8">
        <v>127559556980.89346</v>
      </c>
      <c r="S19" s="8">
        <v>480971515972.5849</v>
      </c>
      <c r="T19" s="8">
        <v>43057994688.150009</v>
      </c>
      <c r="U19" s="8">
        <v>41395103547.849998</v>
      </c>
      <c r="V19" s="8">
        <v>41443625053.25</v>
      </c>
      <c r="W19" s="8">
        <v>125896723289.25</v>
      </c>
      <c r="X19" s="8">
        <v>47170990109.699997</v>
      </c>
      <c r="Y19" s="8">
        <v>43236348285.2295</v>
      </c>
      <c r="Z19" s="8">
        <v>44871034322.892998</v>
      </c>
      <c r="AA19" s="8">
        <v>135278372717.82249</v>
      </c>
      <c r="AB19" s="8">
        <v>261175096007.07251</v>
      </c>
      <c r="AC19" s="8">
        <v>52839326077.462494</v>
      </c>
      <c r="AD19" s="8">
        <v>39693940134.150002</v>
      </c>
      <c r="AE19" s="8">
        <v>40813036865.650002</v>
      </c>
      <c r="AF19" s="8">
        <v>133346303077.26248</v>
      </c>
    </row>
    <row r="20" spans="1:32" ht="15.6" x14ac:dyDescent="0.25">
      <c r="A20" s="9" t="s">
        <v>34</v>
      </c>
      <c r="B20" s="27">
        <v>437742312.48000002</v>
      </c>
      <c r="C20" s="27">
        <v>604819827.91999996</v>
      </c>
      <c r="D20" s="27">
        <v>673849868.56000006</v>
      </c>
      <c r="E20" s="27">
        <v>1716412008.96</v>
      </c>
      <c r="F20" s="27">
        <v>788559122.56000006</v>
      </c>
      <c r="G20" s="27">
        <v>311317710.88</v>
      </c>
      <c r="H20" s="27">
        <v>964366203.67999995</v>
      </c>
      <c r="I20" s="27">
        <v>2064243037.1199999</v>
      </c>
      <c r="J20" s="27">
        <v>3780655046.0799999</v>
      </c>
      <c r="K20" s="27">
        <v>404463671.03499997</v>
      </c>
      <c r="L20" s="27">
        <v>295668428.5</v>
      </c>
      <c r="M20" s="27">
        <v>452697238.94999999</v>
      </c>
      <c r="N20" s="27">
        <v>1152829338.4849999</v>
      </c>
      <c r="O20" s="27">
        <v>1020009046</v>
      </c>
      <c r="P20" s="27">
        <v>381186682</v>
      </c>
      <c r="Q20" s="27">
        <v>1371829643.4350004</v>
      </c>
      <c r="R20" s="27">
        <v>2773025371.4350004</v>
      </c>
      <c r="S20" s="27">
        <v>7706509756</v>
      </c>
      <c r="T20" s="27">
        <v>489990380</v>
      </c>
      <c r="U20" s="27">
        <v>364253818</v>
      </c>
      <c r="V20" s="27">
        <v>392112861</v>
      </c>
      <c r="W20" s="27">
        <v>1246357059</v>
      </c>
      <c r="X20" s="27">
        <v>342480474</v>
      </c>
      <c r="Y20" s="27">
        <v>526258312</v>
      </c>
      <c r="Z20" s="27">
        <v>436257495</v>
      </c>
      <c r="AA20" s="27">
        <v>1356451400</v>
      </c>
      <c r="AB20" s="27">
        <v>2819451098</v>
      </c>
      <c r="AC20" s="27">
        <v>392367059</v>
      </c>
      <c r="AD20" s="27">
        <v>497593821</v>
      </c>
      <c r="AE20" s="27">
        <v>1023978430</v>
      </c>
      <c r="AF20" s="27">
        <v>1913939310</v>
      </c>
    </row>
    <row r="21" spans="1:32" ht="15.6" x14ac:dyDescent="0.25">
      <c r="A21" s="9" t="s">
        <v>18</v>
      </c>
      <c r="B21" s="10">
        <v>21967718213</v>
      </c>
      <c r="C21" s="10">
        <v>23579406894</v>
      </c>
      <c r="D21" s="10">
        <v>23928283915</v>
      </c>
      <c r="E21" s="10">
        <v>69475409022</v>
      </c>
      <c r="F21" s="10">
        <v>20333288276</v>
      </c>
      <c r="G21" s="10">
        <v>19964906979</v>
      </c>
      <c r="H21" s="10">
        <v>22756383804</v>
      </c>
      <c r="I21" s="10">
        <v>63054579059</v>
      </c>
      <c r="J21" s="10">
        <v>132529988081</v>
      </c>
      <c r="K21" s="10">
        <v>22285214647</v>
      </c>
      <c r="L21" s="10">
        <v>22234154620</v>
      </c>
      <c r="M21" s="10">
        <v>22526494513</v>
      </c>
      <c r="N21" s="10">
        <v>67045863780</v>
      </c>
      <c r="O21" s="10">
        <v>21319655643</v>
      </c>
      <c r="P21" s="10">
        <v>21336542836</v>
      </c>
      <c r="Q21" s="10">
        <v>24497509826</v>
      </c>
      <c r="R21" s="10">
        <v>67153708305</v>
      </c>
      <c r="S21" s="10">
        <v>266729560166</v>
      </c>
      <c r="T21" s="10">
        <v>24145494839</v>
      </c>
      <c r="U21" s="10">
        <v>27314561917</v>
      </c>
      <c r="V21" s="10">
        <v>26195676657</v>
      </c>
      <c r="W21" s="10">
        <v>77655733413</v>
      </c>
      <c r="X21" s="10">
        <v>23544980619</v>
      </c>
      <c r="Y21" s="10">
        <v>23468606733</v>
      </c>
      <c r="Z21" s="8">
        <v>24408284257</v>
      </c>
      <c r="AA21" s="8">
        <v>71421871609</v>
      </c>
      <c r="AB21" s="8">
        <v>149077605022</v>
      </c>
      <c r="AC21" s="8">
        <v>25346983489</v>
      </c>
      <c r="AD21" s="8">
        <v>24617113389</v>
      </c>
      <c r="AE21" s="8">
        <v>25131251399</v>
      </c>
      <c r="AF21" s="8">
        <v>75095348277</v>
      </c>
    </row>
    <row r="22" spans="1:32" ht="15.6" x14ac:dyDescent="0.25">
      <c r="A22" s="9" t="s">
        <v>19</v>
      </c>
      <c r="B22" s="8">
        <v>9360225134</v>
      </c>
      <c r="C22" s="8">
        <v>10493825564</v>
      </c>
      <c r="D22" s="8">
        <v>11006511915</v>
      </c>
      <c r="E22" s="8">
        <v>30860562613</v>
      </c>
      <c r="F22" s="8">
        <v>8834084820</v>
      </c>
      <c r="G22" s="8">
        <v>8964719128</v>
      </c>
      <c r="H22" s="8">
        <v>11421295554</v>
      </c>
      <c r="I22" s="8">
        <v>29220099502</v>
      </c>
      <c r="J22" s="8">
        <v>60080662115</v>
      </c>
      <c r="K22" s="8">
        <v>8578045172</v>
      </c>
      <c r="L22" s="8">
        <v>9752219389</v>
      </c>
      <c r="M22" s="8">
        <v>10631424823</v>
      </c>
      <c r="N22" s="8">
        <v>28961689384</v>
      </c>
      <c r="O22" s="8">
        <v>8557476277</v>
      </c>
      <c r="P22" s="8">
        <v>10609976836</v>
      </c>
      <c r="Q22" s="8">
        <v>10769348809</v>
      </c>
      <c r="R22" s="8">
        <v>29936801922</v>
      </c>
      <c r="S22" s="8">
        <v>118979153421</v>
      </c>
      <c r="T22" s="8">
        <v>9795269053</v>
      </c>
      <c r="U22" s="8">
        <v>11614838561</v>
      </c>
      <c r="V22" s="8">
        <v>10968872356</v>
      </c>
      <c r="W22" s="8">
        <v>32378979970</v>
      </c>
      <c r="X22" s="8">
        <v>10881821872</v>
      </c>
      <c r="Y22" s="8">
        <v>11545323208</v>
      </c>
      <c r="Z22" s="8">
        <v>11603771216</v>
      </c>
      <c r="AA22" s="8">
        <v>34030916296</v>
      </c>
      <c r="AB22" s="8">
        <v>66409896266</v>
      </c>
      <c r="AC22" s="8">
        <v>10049445124</v>
      </c>
      <c r="AD22" s="8">
        <v>10336158105</v>
      </c>
      <c r="AE22" s="8">
        <v>11204216537</v>
      </c>
      <c r="AF22" s="8">
        <v>31589819766</v>
      </c>
    </row>
    <row r="23" spans="1:32" ht="15.6" x14ac:dyDescent="0.25">
      <c r="A23" s="9" t="s">
        <v>20</v>
      </c>
      <c r="B23" s="8">
        <v>12607493079</v>
      </c>
      <c r="C23" s="8">
        <v>13085581330</v>
      </c>
      <c r="D23" s="8">
        <v>12921772000</v>
      </c>
      <c r="E23" s="8">
        <v>38614846409</v>
      </c>
      <c r="F23" s="8">
        <v>11499203456</v>
      </c>
      <c r="G23" s="8">
        <v>11000187851</v>
      </c>
      <c r="H23" s="8">
        <v>11335088250</v>
      </c>
      <c r="I23" s="8">
        <v>33834479557</v>
      </c>
      <c r="J23" s="8">
        <v>72449325966</v>
      </c>
      <c r="K23" s="8">
        <v>13707169475</v>
      </c>
      <c r="L23" s="8">
        <v>12481935231</v>
      </c>
      <c r="M23" s="8">
        <v>11895069690</v>
      </c>
      <c r="N23" s="8">
        <v>38084174396</v>
      </c>
      <c r="O23" s="8">
        <v>12762179366</v>
      </c>
      <c r="P23" s="8">
        <v>10726566000</v>
      </c>
      <c r="Q23" s="8">
        <v>13728161017</v>
      </c>
      <c r="R23" s="8">
        <v>37216906383</v>
      </c>
      <c r="S23" s="8">
        <v>147750406745</v>
      </c>
      <c r="T23" s="8">
        <v>14350225786</v>
      </c>
      <c r="U23" s="8">
        <v>15699723356</v>
      </c>
      <c r="V23" s="8">
        <v>15226804301</v>
      </c>
      <c r="W23" s="8">
        <v>45276753443</v>
      </c>
      <c r="X23" s="8">
        <v>12663158747</v>
      </c>
      <c r="Y23" s="8">
        <v>11923283525</v>
      </c>
      <c r="Z23" s="8">
        <v>12804513041</v>
      </c>
      <c r="AA23" s="8">
        <v>37390955313</v>
      </c>
      <c r="AB23" s="8">
        <v>82667708756</v>
      </c>
      <c r="AC23" s="8">
        <v>15297538365</v>
      </c>
      <c r="AD23" s="8">
        <v>14280955284</v>
      </c>
      <c r="AE23" s="8">
        <v>13927034862</v>
      </c>
      <c r="AF23" s="8">
        <v>43505528511</v>
      </c>
    </row>
    <row r="24" spans="1:32" ht="15.6" x14ac:dyDescent="0.25">
      <c r="A24" s="9" t="s">
        <v>34</v>
      </c>
      <c r="B24" s="27">
        <v>1806773</v>
      </c>
      <c r="C24" s="27">
        <v>209309</v>
      </c>
      <c r="D24" s="27">
        <v>2598199</v>
      </c>
      <c r="E24" s="27">
        <v>4614281</v>
      </c>
      <c r="F24" s="27">
        <v>622570</v>
      </c>
      <c r="G24" s="27">
        <v>3435175</v>
      </c>
      <c r="H24" s="27">
        <v>88497</v>
      </c>
      <c r="I24" s="27">
        <v>4146242</v>
      </c>
      <c r="J24" s="27">
        <v>8760523</v>
      </c>
      <c r="K24" s="27">
        <v>6343384</v>
      </c>
      <c r="L24" s="27">
        <v>2957177</v>
      </c>
      <c r="M24" s="27">
        <v>501295</v>
      </c>
      <c r="N24" s="27">
        <v>9801856</v>
      </c>
      <c r="O24" s="27">
        <v>2519836</v>
      </c>
      <c r="P24" s="27">
        <v>69326</v>
      </c>
      <c r="Q24" s="27">
        <v>426204</v>
      </c>
      <c r="R24" s="27">
        <v>3015366</v>
      </c>
      <c r="S24" s="27">
        <v>21577745</v>
      </c>
      <c r="T24" s="27">
        <v>588628</v>
      </c>
      <c r="U24" s="27">
        <v>354994</v>
      </c>
      <c r="V24" s="27">
        <v>7155891</v>
      </c>
      <c r="W24" s="27">
        <v>8099513</v>
      </c>
      <c r="X24" s="27">
        <v>1918522</v>
      </c>
      <c r="Y24" s="27">
        <v>18651240</v>
      </c>
      <c r="Z24" s="27">
        <v>44759679</v>
      </c>
      <c r="AA24" s="27">
        <v>65364150</v>
      </c>
      <c r="AB24" s="27">
        <v>74170709</v>
      </c>
      <c r="AC24" s="27">
        <v>28545496</v>
      </c>
      <c r="AD24" s="27">
        <v>10072900</v>
      </c>
      <c r="AE24" s="27">
        <v>675276</v>
      </c>
      <c r="AF24" s="27">
        <v>39293672</v>
      </c>
    </row>
    <row r="25" spans="1:32" ht="15.6" x14ac:dyDescent="0.25">
      <c r="A25" s="9" t="s">
        <v>21</v>
      </c>
      <c r="B25" s="8">
        <v>789574126</v>
      </c>
      <c r="C25" s="8">
        <v>720146973</v>
      </c>
      <c r="D25" s="8">
        <v>794398545</v>
      </c>
      <c r="E25" s="8">
        <v>2304119644</v>
      </c>
      <c r="F25" s="8">
        <v>499854338</v>
      </c>
      <c r="G25" s="8">
        <v>657040491</v>
      </c>
      <c r="H25" s="8">
        <v>853725293</v>
      </c>
      <c r="I25" s="8">
        <v>2010620122</v>
      </c>
      <c r="J25" s="8">
        <v>4314739766</v>
      </c>
      <c r="K25" s="8">
        <v>921089880</v>
      </c>
      <c r="L25" s="8">
        <v>588178337</v>
      </c>
      <c r="M25" s="8">
        <v>742589821</v>
      </c>
      <c r="N25" s="8">
        <v>2251858038</v>
      </c>
      <c r="O25" s="8">
        <v>870616359</v>
      </c>
      <c r="P25" s="8">
        <v>675135874</v>
      </c>
      <c r="Q25" s="8">
        <v>802436958</v>
      </c>
      <c r="R25" s="8">
        <v>2348189191</v>
      </c>
      <c r="S25" s="8">
        <v>8914786995</v>
      </c>
      <c r="T25" s="8">
        <v>1010988347</v>
      </c>
      <c r="U25" s="8">
        <v>784729078</v>
      </c>
      <c r="V25" s="8">
        <v>751688664</v>
      </c>
      <c r="W25" s="8">
        <v>2547406089</v>
      </c>
      <c r="X25" s="8">
        <v>883077001</v>
      </c>
      <c r="Y25" s="8">
        <v>795434870</v>
      </c>
      <c r="Z25" s="8">
        <v>703443293</v>
      </c>
      <c r="AA25" s="8">
        <v>2381955164</v>
      </c>
      <c r="AB25" s="8">
        <v>4929361253</v>
      </c>
      <c r="AC25" s="8">
        <v>910829650</v>
      </c>
      <c r="AD25" s="8">
        <v>939195039</v>
      </c>
      <c r="AE25" s="8">
        <v>736540298</v>
      </c>
      <c r="AF25" s="8">
        <v>2586564987</v>
      </c>
    </row>
    <row r="26" spans="1:32" ht="15.6" x14ac:dyDescent="0.25">
      <c r="A26" s="9" t="s">
        <v>34</v>
      </c>
      <c r="B26" s="27">
        <v>53914</v>
      </c>
      <c r="C26" s="27">
        <v>679248</v>
      </c>
      <c r="D26" s="27">
        <v>0</v>
      </c>
      <c r="E26" s="27">
        <v>733162</v>
      </c>
      <c r="F26" s="27">
        <v>0</v>
      </c>
      <c r="G26" s="27">
        <v>0</v>
      </c>
      <c r="H26" s="27">
        <v>8346334</v>
      </c>
      <c r="I26" s="27">
        <v>8346334</v>
      </c>
      <c r="J26" s="27">
        <v>9079496</v>
      </c>
      <c r="K26" s="27">
        <v>0</v>
      </c>
      <c r="L26" s="27">
        <v>2357396</v>
      </c>
      <c r="M26" s="27">
        <v>559327</v>
      </c>
      <c r="N26" s="27">
        <v>2916723</v>
      </c>
      <c r="O26" s="27">
        <v>1457183</v>
      </c>
      <c r="P26" s="27">
        <v>0</v>
      </c>
      <c r="Q26" s="27">
        <v>1121</v>
      </c>
      <c r="R26" s="27">
        <v>1458304</v>
      </c>
      <c r="S26" s="27">
        <v>13454523</v>
      </c>
      <c r="T26" s="27"/>
      <c r="U26" s="27"/>
      <c r="V26" s="27">
        <v>77673</v>
      </c>
      <c r="W26" s="27">
        <v>77673</v>
      </c>
      <c r="X26" s="27">
        <v>0</v>
      </c>
      <c r="Y26" s="27">
        <v>8356</v>
      </c>
      <c r="Z26" s="27">
        <v>0</v>
      </c>
      <c r="AA26" s="27">
        <v>8356</v>
      </c>
      <c r="AB26" s="27">
        <v>86029</v>
      </c>
      <c r="AC26" s="27">
        <v>245875</v>
      </c>
      <c r="AD26" s="27"/>
      <c r="AE26" s="27">
        <v>279224</v>
      </c>
      <c r="AF26" s="27">
        <v>525099</v>
      </c>
    </row>
    <row r="27" spans="1:32" ht="15.6" x14ac:dyDescent="0.25">
      <c r="A27" s="9" t="s">
        <v>22</v>
      </c>
      <c r="B27" s="8">
        <v>1659747758.234488</v>
      </c>
      <c r="C27" s="8">
        <v>5027055128.8555126</v>
      </c>
      <c r="D27" s="8">
        <v>6591653402.8944902</v>
      </c>
      <c r="E27" s="8">
        <v>13278456289.984489</v>
      </c>
      <c r="F27" s="8">
        <v>5602443700.2959995</v>
      </c>
      <c r="G27" s="8">
        <v>5834497545.2105999</v>
      </c>
      <c r="H27" s="8">
        <v>6171976268.8269663</v>
      </c>
      <c r="I27" s="8">
        <v>17608917514.333565</v>
      </c>
      <c r="J27" s="8">
        <v>30887373804.318054</v>
      </c>
      <c r="K27" s="8">
        <v>6080647553.8086004</v>
      </c>
      <c r="L27" s="8">
        <v>5764315081.8128004</v>
      </c>
      <c r="M27" s="8">
        <v>6723104100.6800003</v>
      </c>
      <c r="N27" s="8">
        <v>18568066736.301399</v>
      </c>
      <c r="O27" s="8">
        <v>5508221683.7405491</v>
      </c>
      <c r="P27" s="8">
        <v>6488667381.8842001</v>
      </c>
      <c r="Q27" s="8">
        <v>6785975373.5958023</v>
      </c>
      <c r="R27" s="8">
        <v>18782864439.220551</v>
      </c>
      <c r="S27" s="8">
        <v>68238304979.840004</v>
      </c>
      <c r="T27" s="8">
        <v>6312655218.8000002</v>
      </c>
      <c r="U27" s="8">
        <v>7221819085.6999998</v>
      </c>
      <c r="V27" s="8">
        <v>6782132700.3199997</v>
      </c>
      <c r="W27" s="8">
        <v>20316607004.82</v>
      </c>
      <c r="X27" s="8">
        <v>7042471164.8014002</v>
      </c>
      <c r="Y27" s="8">
        <v>6754673025.2088003</v>
      </c>
      <c r="Z27" s="8">
        <v>6593412994.4799995</v>
      </c>
      <c r="AA27" s="8">
        <v>20390557184.4902</v>
      </c>
      <c r="AB27" s="8">
        <v>40707164189.310196</v>
      </c>
      <c r="AC27" s="8">
        <v>6866624700.3072004</v>
      </c>
      <c r="AD27" s="8">
        <v>6458101702.0232</v>
      </c>
      <c r="AE27" s="8">
        <v>7139725308.3892002</v>
      </c>
      <c r="AF27" s="8">
        <v>20464451710.719601</v>
      </c>
    </row>
    <row r="28" spans="1:32" ht="15.6" x14ac:dyDescent="0.25">
      <c r="A28" s="9" t="s">
        <v>35</v>
      </c>
      <c r="B28" s="28">
        <v>1673520275.5599999</v>
      </c>
      <c r="C28" s="28">
        <v>1650138071.5599999</v>
      </c>
      <c r="D28" s="28">
        <v>1621293652.1900001</v>
      </c>
      <c r="E28" s="28">
        <v>4944951999.3099995</v>
      </c>
      <c r="F28" s="28">
        <v>1567284575.1099999</v>
      </c>
      <c r="G28" s="28">
        <v>1717490518.1800001</v>
      </c>
      <c r="H28" s="28">
        <v>1705558605.8599999</v>
      </c>
      <c r="I28" s="28">
        <v>4990333699.1499996</v>
      </c>
      <c r="J28" s="28">
        <v>9935285698.4599991</v>
      </c>
      <c r="K28" s="28">
        <v>1807889467.0599999</v>
      </c>
      <c r="L28" s="28">
        <v>1663568782.96</v>
      </c>
      <c r="M28" s="28">
        <v>1730062485.4100001</v>
      </c>
      <c r="N28" s="28">
        <v>5201520735.4300003</v>
      </c>
      <c r="O28" s="28">
        <v>1652016508.2567999</v>
      </c>
      <c r="P28" s="28">
        <v>1819213814.23</v>
      </c>
      <c r="Q28" s="28">
        <v>1918887718.4632058</v>
      </c>
      <c r="R28" s="28">
        <v>5390118040.9500055</v>
      </c>
      <c r="S28" s="28">
        <v>20526924474.840004</v>
      </c>
      <c r="T28" s="28">
        <v>4390945985</v>
      </c>
      <c r="U28" s="28">
        <v>4994337875</v>
      </c>
      <c r="V28" s="28">
        <v>4539796235</v>
      </c>
      <c r="W28" s="28">
        <v>13925080095</v>
      </c>
      <c r="X28" s="28">
        <v>4724104090</v>
      </c>
      <c r="Y28" s="28">
        <v>4616035600</v>
      </c>
      <c r="Z28" s="28">
        <v>4436119825</v>
      </c>
      <c r="AA28" s="28">
        <v>13776259515</v>
      </c>
      <c r="AB28" s="28">
        <v>27701339610</v>
      </c>
      <c r="AC28" s="28">
        <v>4576354275</v>
      </c>
      <c r="AD28" s="28">
        <v>4265564245</v>
      </c>
      <c r="AE28" s="28">
        <v>4877979265</v>
      </c>
      <c r="AF28" s="28">
        <v>13719897785</v>
      </c>
    </row>
    <row r="29" spans="1:32" ht="15.6" x14ac:dyDescent="0.25">
      <c r="A29" s="9" t="s">
        <v>23</v>
      </c>
      <c r="B29" s="8">
        <v>1210737360</v>
      </c>
      <c r="C29" s="8">
        <v>1320566762</v>
      </c>
      <c r="D29" s="8">
        <v>1411681636</v>
      </c>
      <c r="E29" s="8">
        <v>3942985758</v>
      </c>
      <c r="F29" s="8">
        <v>1141027240</v>
      </c>
      <c r="G29" s="8">
        <v>1155290588</v>
      </c>
      <c r="H29" s="8">
        <v>1290522030</v>
      </c>
      <c r="I29" s="8">
        <v>3586839858</v>
      </c>
      <c r="J29" s="8">
        <v>7529825616</v>
      </c>
      <c r="K29" s="8">
        <v>1208309102</v>
      </c>
      <c r="L29" s="8">
        <v>1158823760</v>
      </c>
      <c r="M29" s="8">
        <v>1417136704</v>
      </c>
      <c r="N29" s="8">
        <v>3784269566</v>
      </c>
      <c r="O29" s="8">
        <v>1130445774</v>
      </c>
      <c r="P29" s="8">
        <v>1309580487</v>
      </c>
      <c r="Q29" s="8">
        <v>1376660050</v>
      </c>
      <c r="R29" s="8">
        <v>3816686311</v>
      </c>
      <c r="S29" s="8">
        <v>15130781493</v>
      </c>
      <c r="T29" s="8">
        <v>1253215066</v>
      </c>
      <c r="U29" s="8">
        <v>1421431987</v>
      </c>
      <c r="V29" s="8">
        <v>1292065508</v>
      </c>
      <c r="W29" s="8">
        <v>3966712561</v>
      </c>
      <c r="X29" s="8">
        <v>1343284208</v>
      </c>
      <c r="Y29" s="8">
        <v>1313763872</v>
      </c>
      <c r="Z29" s="8">
        <v>1261256806</v>
      </c>
      <c r="AA29" s="8">
        <v>3918304886</v>
      </c>
      <c r="AB29" s="8">
        <v>7885017447</v>
      </c>
      <c r="AC29" s="8">
        <v>1304968027</v>
      </c>
      <c r="AD29" s="8">
        <v>1211248026</v>
      </c>
      <c r="AE29" s="8">
        <v>1389728814</v>
      </c>
      <c r="AF29" s="8">
        <v>3905944867</v>
      </c>
    </row>
    <row r="30" spans="1:32" ht="15.6" x14ac:dyDescent="0.25">
      <c r="A30" s="3" t="s">
        <v>24</v>
      </c>
      <c r="B30" s="6">
        <v>13662123297.940001</v>
      </c>
      <c r="C30" s="6">
        <v>15528713918.48</v>
      </c>
      <c r="D30" s="6">
        <v>14893686316.620001</v>
      </c>
      <c r="E30" s="6">
        <v>44084523533.040001</v>
      </c>
      <c r="F30" s="6">
        <v>13690334914.77</v>
      </c>
      <c r="G30" s="6">
        <v>15670954172.9</v>
      </c>
      <c r="H30" s="6">
        <v>15301554636.49</v>
      </c>
      <c r="I30" s="6">
        <v>44662843724.160004</v>
      </c>
      <c r="J30" s="6">
        <v>88747367257.200012</v>
      </c>
      <c r="K30" s="6">
        <v>15568443158.705</v>
      </c>
      <c r="L30" s="6">
        <v>15311448005.83</v>
      </c>
      <c r="M30" s="6">
        <v>16139920622.639999</v>
      </c>
      <c r="N30" s="6">
        <v>47019811787.175003</v>
      </c>
      <c r="O30" s="6">
        <v>12481436453.85</v>
      </c>
      <c r="P30" s="6">
        <v>16731058737.299999</v>
      </c>
      <c r="Q30" s="6">
        <v>18025568587.080002</v>
      </c>
      <c r="R30" s="6">
        <v>47238063778.230003</v>
      </c>
      <c r="S30" s="6">
        <v>183005242822.60501</v>
      </c>
      <c r="T30" s="6">
        <v>18314056305.18</v>
      </c>
      <c r="U30" s="6">
        <v>16291604337.5</v>
      </c>
      <c r="V30" s="6">
        <v>15797450118.736</v>
      </c>
      <c r="W30" s="6">
        <v>50403110761.416</v>
      </c>
      <c r="X30" s="6">
        <v>14733686804.955999</v>
      </c>
      <c r="Y30" s="6">
        <v>14107727236.5</v>
      </c>
      <c r="Z30" s="6">
        <v>16800102718.9</v>
      </c>
      <c r="AA30" s="6">
        <v>45823558499.556</v>
      </c>
      <c r="AB30" s="6">
        <v>96226669260.972</v>
      </c>
      <c r="AC30" s="6">
        <v>17958635422.799999</v>
      </c>
      <c r="AD30" s="6">
        <v>14900598249.360001</v>
      </c>
      <c r="AE30" s="6">
        <v>15985748724.280001</v>
      </c>
      <c r="AF30" s="6">
        <v>48844982396.440002</v>
      </c>
    </row>
    <row r="31" spans="1:32" ht="15.6" x14ac:dyDescent="0.25">
      <c r="A31" s="9" t="s">
        <v>25</v>
      </c>
      <c r="B31" s="8">
        <v>11020313483</v>
      </c>
      <c r="C31" s="8">
        <v>12511216157</v>
      </c>
      <c r="D31" s="8">
        <v>11895585630</v>
      </c>
      <c r="E31" s="8">
        <v>35427115270</v>
      </c>
      <c r="F31" s="8">
        <v>10653540270</v>
      </c>
      <c r="G31" s="8">
        <v>11909781979</v>
      </c>
      <c r="H31" s="8">
        <v>11941779899</v>
      </c>
      <c r="I31" s="8">
        <v>34505102148</v>
      </c>
      <c r="J31" s="8">
        <v>69932217418</v>
      </c>
      <c r="K31" s="8">
        <v>11975767053</v>
      </c>
      <c r="L31" s="8">
        <v>12103459232</v>
      </c>
      <c r="M31" s="8">
        <v>12472584041</v>
      </c>
      <c r="N31" s="8">
        <v>36551810326</v>
      </c>
      <c r="O31" s="8">
        <v>9642314633</v>
      </c>
      <c r="P31" s="8">
        <v>12894970368</v>
      </c>
      <c r="Q31" s="8">
        <v>13071546091</v>
      </c>
      <c r="R31" s="8">
        <v>35608831092</v>
      </c>
      <c r="S31" s="8">
        <v>142092858836</v>
      </c>
      <c r="T31" s="8">
        <v>13360143772</v>
      </c>
      <c r="U31" s="8">
        <v>13332310567</v>
      </c>
      <c r="V31" s="8">
        <v>12819595689</v>
      </c>
      <c r="W31" s="8">
        <v>39512050028</v>
      </c>
      <c r="X31" s="8">
        <v>11687002948</v>
      </c>
      <c r="Y31" s="8">
        <v>11128809902</v>
      </c>
      <c r="Z31" s="8">
        <v>12726185616</v>
      </c>
      <c r="AA31" s="8">
        <v>35541998466</v>
      </c>
      <c r="AB31" s="8">
        <v>75054048494</v>
      </c>
      <c r="AC31" s="8">
        <v>13531001693</v>
      </c>
      <c r="AD31" s="8">
        <v>11630482260</v>
      </c>
      <c r="AE31" s="8">
        <v>12537255727</v>
      </c>
      <c r="AF31" s="8">
        <v>37698739680</v>
      </c>
    </row>
    <row r="32" spans="1:32" ht="15.6" x14ac:dyDescent="0.25">
      <c r="A32" s="9" t="s">
        <v>26</v>
      </c>
      <c r="B32" s="8">
        <v>1879521035</v>
      </c>
      <c r="C32" s="8">
        <v>2178319098</v>
      </c>
      <c r="D32" s="8">
        <v>2122311772</v>
      </c>
      <c r="E32" s="8">
        <v>6180151905</v>
      </c>
      <c r="F32" s="8">
        <v>1841108386</v>
      </c>
      <c r="G32" s="8">
        <v>2026762107</v>
      </c>
      <c r="H32" s="8">
        <v>2145801306</v>
      </c>
      <c r="I32" s="8">
        <v>6013671799</v>
      </c>
      <c r="J32" s="8">
        <v>12193823704</v>
      </c>
      <c r="K32" s="8">
        <v>2024081911</v>
      </c>
      <c r="L32" s="8">
        <v>1914930170</v>
      </c>
      <c r="M32" s="8">
        <v>2125532580</v>
      </c>
      <c r="N32" s="8">
        <v>6064544661</v>
      </c>
      <c r="O32" s="8">
        <v>1631064629</v>
      </c>
      <c r="P32" s="8">
        <v>2295020324</v>
      </c>
      <c r="Q32" s="8">
        <v>2253875966</v>
      </c>
      <c r="R32" s="8">
        <v>6179960919</v>
      </c>
      <c r="S32" s="8">
        <v>24438329284</v>
      </c>
      <c r="T32" s="8">
        <v>2111492860</v>
      </c>
      <c r="U32" s="8">
        <v>2160009950</v>
      </c>
      <c r="V32" s="8">
        <v>2152193799</v>
      </c>
      <c r="W32" s="8">
        <v>6423696609</v>
      </c>
      <c r="X32" s="8">
        <v>2209678119</v>
      </c>
      <c r="Y32" s="8">
        <v>2188981132</v>
      </c>
      <c r="Z32" s="8">
        <v>2363302902</v>
      </c>
      <c r="AA32" s="8">
        <v>6761962153</v>
      </c>
      <c r="AB32" s="8">
        <v>13185658762</v>
      </c>
      <c r="AC32" s="8">
        <v>2495561101</v>
      </c>
      <c r="AD32" s="8">
        <v>2175144137</v>
      </c>
      <c r="AE32" s="8">
        <v>2323026656</v>
      </c>
      <c r="AF32" s="8">
        <v>6993731894</v>
      </c>
    </row>
    <row r="33" spans="1:32" ht="15.6" x14ac:dyDescent="0.25">
      <c r="A33" s="9" t="s">
        <v>27</v>
      </c>
      <c r="B33" s="8">
        <v>239341902</v>
      </c>
      <c r="C33" s="8">
        <v>280029976</v>
      </c>
      <c r="D33" s="8">
        <v>271350231</v>
      </c>
      <c r="E33" s="8">
        <v>790722109</v>
      </c>
      <c r="F33" s="8">
        <v>236687542</v>
      </c>
      <c r="G33" s="8">
        <v>257462899</v>
      </c>
      <c r="H33" s="8">
        <v>274901429</v>
      </c>
      <c r="I33" s="8">
        <v>769051870</v>
      </c>
      <c r="J33" s="8">
        <v>1559773979</v>
      </c>
      <c r="K33" s="8">
        <v>253680697</v>
      </c>
      <c r="L33" s="8">
        <v>237678991</v>
      </c>
      <c r="M33" s="8">
        <v>269349073</v>
      </c>
      <c r="N33" s="8">
        <v>760708761</v>
      </c>
      <c r="O33" s="8">
        <v>181288001</v>
      </c>
      <c r="P33" s="8">
        <v>292236985</v>
      </c>
      <c r="Q33" s="8">
        <v>284246844</v>
      </c>
      <c r="R33" s="8">
        <v>757771830</v>
      </c>
      <c r="S33" s="8">
        <v>3078254570</v>
      </c>
      <c r="T33" s="8">
        <v>268125214</v>
      </c>
      <c r="U33" s="8">
        <v>274214141</v>
      </c>
      <c r="V33" s="8">
        <v>270408260</v>
      </c>
      <c r="W33" s="8">
        <v>812747615</v>
      </c>
      <c r="X33" s="8">
        <v>279834154</v>
      </c>
      <c r="Y33" s="8">
        <v>278177803</v>
      </c>
      <c r="Z33" s="8">
        <v>303349477</v>
      </c>
      <c r="AA33" s="8">
        <v>861361434</v>
      </c>
      <c r="AB33" s="8">
        <v>1674109049</v>
      </c>
      <c r="AC33" s="8">
        <v>311760081</v>
      </c>
      <c r="AD33" s="8">
        <v>271342267</v>
      </c>
      <c r="AE33" s="8">
        <v>285088301</v>
      </c>
      <c r="AF33" s="8">
        <v>868190649</v>
      </c>
    </row>
    <row r="34" spans="1:32" ht="15.6" x14ac:dyDescent="0.25">
      <c r="A34" s="9" t="s">
        <v>28</v>
      </c>
      <c r="B34" s="8">
        <v>522946877.94</v>
      </c>
      <c r="C34" s="8">
        <v>559148687.48000002</v>
      </c>
      <c r="D34" s="8">
        <v>604438683.62</v>
      </c>
      <c r="E34" s="8">
        <v>1686534249.04</v>
      </c>
      <c r="F34" s="8">
        <v>958998716.76999998</v>
      </c>
      <c r="G34" s="8">
        <v>1476947187.9000001</v>
      </c>
      <c r="H34" s="8">
        <v>939072002.49000001</v>
      </c>
      <c r="I34" s="8">
        <v>3375017907.1600003</v>
      </c>
      <c r="J34" s="8">
        <v>5061552156.2000008</v>
      </c>
      <c r="K34" s="8">
        <v>1314913497.7049999</v>
      </c>
      <c r="L34" s="8">
        <v>1055379612.83</v>
      </c>
      <c r="M34" s="8">
        <v>1272454928.6399999</v>
      </c>
      <c r="N34" s="8">
        <v>3642748039.1749997</v>
      </c>
      <c r="O34" s="8">
        <v>1026769190.85</v>
      </c>
      <c r="P34" s="8">
        <v>1248831060.3</v>
      </c>
      <c r="Q34" s="8">
        <v>2415899686.0799999</v>
      </c>
      <c r="R34" s="8">
        <v>4691499937.2300005</v>
      </c>
      <c r="S34" s="8">
        <v>13395800132.605001</v>
      </c>
      <c r="T34" s="8">
        <v>2574294459.1799998</v>
      </c>
      <c r="U34" s="8">
        <v>525069679.5</v>
      </c>
      <c r="V34" s="8">
        <v>555252370.73599994</v>
      </c>
      <c r="W34" s="8">
        <v>3654616509.4159999</v>
      </c>
      <c r="X34" s="8">
        <v>557171583.95599997</v>
      </c>
      <c r="Y34" s="8">
        <v>511758399.5</v>
      </c>
      <c r="Z34" s="8">
        <v>1407264723.9000001</v>
      </c>
      <c r="AA34" s="8">
        <v>2658236446.5560002</v>
      </c>
      <c r="AB34" s="8">
        <v>6312852955.9720001</v>
      </c>
      <c r="AC34" s="8">
        <v>1620312547.8</v>
      </c>
      <c r="AD34" s="8">
        <v>823629585.36000001</v>
      </c>
      <c r="AE34" s="8">
        <v>840378040.27999997</v>
      </c>
      <c r="AF34" s="8">
        <v>3284320173.4399996</v>
      </c>
    </row>
    <row r="35" spans="1:32" ht="15.6" x14ac:dyDescent="0.25">
      <c r="A35" s="9" t="s">
        <v>36</v>
      </c>
      <c r="B35" s="28">
        <v>3262716115.04</v>
      </c>
      <c r="C35" s="28">
        <v>3431303744.48</v>
      </c>
      <c r="D35" s="28">
        <v>3048556602.75</v>
      </c>
      <c r="E35" s="28">
        <v>9742611727.8236771</v>
      </c>
      <c r="F35" s="28">
        <v>3392746815.6700001</v>
      </c>
      <c r="G35" s="28">
        <v>2463820975.0599999</v>
      </c>
      <c r="H35" s="28">
        <v>3540428951.54</v>
      </c>
      <c r="I35" s="28">
        <v>9396996742.2700005</v>
      </c>
      <c r="J35" s="28">
        <v>19139608470.093674</v>
      </c>
      <c r="K35" s="28">
        <v>2584810535.0949998</v>
      </c>
      <c r="L35" s="28">
        <v>2254656119.46</v>
      </c>
      <c r="M35" s="28">
        <v>3171615815.3600001</v>
      </c>
      <c r="N35" s="28">
        <v>8011082469.915</v>
      </c>
      <c r="O35" s="28">
        <v>3351717098.2567997</v>
      </c>
      <c r="P35" s="28">
        <v>2735537039.4200001</v>
      </c>
      <c r="Q35" s="28">
        <v>3945644546.8982062</v>
      </c>
      <c r="R35" s="28">
        <v>10032898684.575005</v>
      </c>
      <c r="S35" s="28">
        <v>16656665149.743677</v>
      </c>
      <c r="T35" s="28">
        <v>1037429850</v>
      </c>
      <c r="U35" s="28">
        <v>829013577</v>
      </c>
      <c r="V35" s="28">
        <v>1212984346</v>
      </c>
      <c r="W35" s="28">
        <v>3079427773</v>
      </c>
      <c r="X35" s="28">
        <v>823697714</v>
      </c>
      <c r="Y35" s="28">
        <v>978619019</v>
      </c>
      <c r="Z35" s="28">
        <v>1024749881</v>
      </c>
      <c r="AA35" s="28">
        <v>2861266434</v>
      </c>
      <c r="AB35" s="28">
        <v>6201718428</v>
      </c>
      <c r="AC35" s="28">
        <v>687795198</v>
      </c>
      <c r="AD35" s="28">
        <v>993150447</v>
      </c>
      <c r="AE35" s="28">
        <v>1842770030</v>
      </c>
      <c r="AF35" s="28">
        <v>3523715675</v>
      </c>
    </row>
    <row r="36" spans="1:32" ht="15.6" x14ac:dyDescent="0.25">
      <c r="A36" s="12" t="s">
        <v>29</v>
      </c>
      <c r="B36" s="6">
        <v>149731640006.8295</v>
      </c>
      <c r="C36" s="6">
        <v>173727660826.00348</v>
      </c>
      <c r="D36" s="6">
        <v>218192481179.24658</v>
      </c>
      <c r="E36" s="6">
        <v>541651782012.07959</v>
      </c>
      <c r="F36" s="6">
        <v>147768492665.37601</v>
      </c>
      <c r="G36" s="6">
        <v>171178377775.19058</v>
      </c>
      <c r="H36" s="6">
        <v>230769503894.20184</v>
      </c>
      <c r="I36" s="6">
        <v>549716374334.76843</v>
      </c>
      <c r="J36" s="6">
        <v>1091368156346.848</v>
      </c>
      <c r="K36" s="6">
        <v>175121767101.02957</v>
      </c>
      <c r="L36" s="6">
        <v>146591986374.60831</v>
      </c>
      <c r="M36" s="6">
        <v>262016010001.71997</v>
      </c>
      <c r="N36" s="6">
        <v>583729763477.35791</v>
      </c>
      <c r="O36" s="6">
        <v>186385206670.03226</v>
      </c>
      <c r="P36" s="6">
        <v>174052726205.65417</v>
      </c>
      <c r="Q36" s="6">
        <v>265431055521.07751</v>
      </c>
      <c r="R36" s="6">
        <v>625868988396.76392</v>
      </c>
      <c r="S36" s="6">
        <v>2300966908220.9697</v>
      </c>
      <c r="T36" s="6">
        <v>186214108249.17999</v>
      </c>
      <c r="U36" s="6">
        <v>185476392517.84998</v>
      </c>
      <c r="V36" s="6">
        <v>221811994085.836</v>
      </c>
      <c r="W36" s="6">
        <v>593502494852.86597</v>
      </c>
      <c r="X36" s="6">
        <v>195133504665.00739</v>
      </c>
      <c r="Y36" s="6">
        <v>178785684225.1683</v>
      </c>
      <c r="Z36" s="6">
        <v>243549243323.84308</v>
      </c>
      <c r="AA36" s="6">
        <v>617650473953.21875</v>
      </c>
      <c r="AB36" s="6">
        <v>1211152968806.0847</v>
      </c>
      <c r="AC36" s="6">
        <v>211850261478.17969</v>
      </c>
      <c r="AD36" s="6">
        <v>171592882400.41321</v>
      </c>
      <c r="AE36" s="6">
        <v>202645199805.0892</v>
      </c>
      <c r="AF36" s="6">
        <v>586088343683.68213</v>
      </c>
    </row>
    <row r="37" spans="1:32" ht="15.6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ht="15.6" x14ac:dyDescent="0.3">
      <c r="A38" s="15" t="s">
        <v>30</v>
      </c>
      <c r="B38" s="6">
        <v>2068212085.3497188</v>
      </c>
      <c r="C38" s="6">
        <v>2122233561.4302807</v>
      </c>
      <c r="D38" s="6">
        <v>1829226864.908</v>
      </c>
      <c r="E38" s="6">
        <v>6019672511.6879997</v>
      </c>
      <c r="F38" s="6">
        <v>1966211814.7899966</v>
      </c>
      <c r="G38" s="6">
        <v>2230200526.0176702</v>
      </c>
      <c r="H38" s="6">
        <v>2770832013.9173579</v>
      </c>
      <c r="I38" s="6">
        <v>6967244354.7250252</v>
      </c>
      <c r="J38" s="6">
        <v>13473711122.465025</v>
      </c>
      <c r="K38" s="6">
        <v>2642924915.1448998</v>
      </c>
      <c r="L38" s="6">
        <v>2298663838.3080602</v>
      </c>
      <c r="M38" s="6">
        <v>3031455184.1599998</v>
      </c>
      <c r="N38" s="6">
        <v>7973043937.6129599</v>
      </c>
      <c r="O38" s="6">
        <v>2260780994.3920121</v>
      </c>
      <c r="P38" s="6">
        <v>3100745339.0489998</v>
      </c>
      <c r="Q38" s="6">
        <v>4817914050.8635292</v>
      </c>
      <c r="R38" s="6">
        <v>10179440384.304541</v>
      </c>
      <c r="S38" s="6">
        <v>31626195444.382523</v>
      </c>
      <c r="T38" s="6">
        <v>4152931991.4171996</v>
      </c>
      <c r="U38" s="6">
        <v>4231787377</v>
      </c>
      <c r="V38" s="6">
        <v>3489479727.9099998</v>
      </c>
      <c r="W38" s="6">
        <v>11874199096.3272</v>
      </c>
      <c r="X38" s="6">
        <v>4173801830.8300004</v>
      </c>
      <c r="Y38" s="6">
        <v>5883634271.9100008</v>
      </c>
      <c r="Z38" s="6">
        <v>4154659871.1299996</v>
      </c>
      <c r="AA38" s="6">
        <v>14212095973.870001</v>
      </c>
      <c r="AB38" s="6">
        <v>26086295070.197201</v>
      </c>
      <c r="AC38" s="6">
        <v>4202785374.98</v>
      </c>
      <c r="AD38" s="6">
        <v>3826640943.652</v>
      </c>
      <c r="AE38" s="6">
        <v>4601190371.8570004</v>
      </c>
      <c r="AF38" s="6">
        <v>12630616690.489</v>
      </c>
    </row>
    <row r="39" spans="1:32" ht="15" customHeight="1" x14ac:dyDescent="0.3">
      <c r="A39" s="15" t="s">
        <v>31</v>
      </c>
      <c r="B39" s="6">
        <v>4000757545</v>
      </c>
      <c r="C39" s="6">
        <v>4676648702</v>
      </c>
      <c r="D39" s="6">
        <v>4375657673</v>
      </c>
      <c r="E39" s="6">
        <v>13053063920</v>
      </c>
      <c r="F39" s="6">
        <v>4221623189</v>
      </c>
      <c r="G39" s="6">
        <v>4616676521</v>
      </c>
      <c r="H39" s="6">
        <v>6834689194</v>
      </c>
      <c r="I39" s="6">
        <v>15672988904</v>
      </c>
      <c r="J39" s="6">
        <v>28716284040</v>
      </c>
      <c r="K39" s="6">
        <v>32021287588</v>
      </c>
      <c r="L39" s="6">
        <v>6080377468</v>
      </c>
      <c r="M39" s="6">
        <v>5855958110</v>
      </c>
      <c r="N39" s="6">
        <v>43957623166</v>
      </c>
      <c r="O39" s="6">
        <v>4100595624</v>
      </c>
      <c r="P39" s="6">
        <v>4553226042</v>
      </c>
      <c r="Q39" s="6">
        <v>5190285521</v>
      </c>
      <c r="R39" s="6">
        <v>13844107187</v>
      </c>
      <c r="S39" s="6">
        <v>86518014393</v>
      </c>
      <c r="T39" s="6">
        <v>4322823445</v>
      </c>
      <c r="U39" s="6">
        <v>4824745944</v>
      </c>
      <c r="V39" s="6">
        <v>4589876646</v>
      </c>
      <c r="W39" s="6">
        <v>13737446035</v>
      </c>
      <c r="X39" s="6">
        <v>4058107719</v>
      </c>
      <c r="Y39" s="6">
        <v>4432674571</v>
      </c>
      <c r="Z39" s="6">
        <v>5080340961</v>
      </c>
      <c r="AA39" s="6">
        <v>13571123251</v>
      </c>
      <c r="AB39" s="6">
        <v>27308569286</v>
      </c>
      <c r="AC39" s="6">
        <v>11855838653</v>
      </c>
      <c r="AD39" s="6">
        <v>27759715949</v>
      </c>
      <c r="AE39" s="6">
        <v>5653836138</v>
      </c>
      <c r="AF39" s="6">
        <v>45269390740</v>
      </c>
    </row>
    <row r="40" spans="1:32" ht="15" customHeight="1" x14ac:dyDescent="0.3">
      <c r="A40" s="17" t="s">
        <v>32</v>
      </c>
      <c r="B40" s="17">
        <v>640596602</v>
      </c>
      <c r="C40" s="17">
        <v>783385079</v>
      </c>
      <c r="D40" s="17">
        <v>764684873</v>
      </c>
      <c r="E40" s="18">
        <v>2188666554</v>
      </c>
      <c r="F40" s="17">
        <v>587913636</v>
      </c>
      <c r="G40" s="17">
        <v>859851122</v>
      </c>
      <c r="H40" s="17">
        <v>2745309883</v>
      </c>
      <c r="I40" s="17">
        <v>4193074641</v>
      </c>
      <c r="J40" s="17">
        <v>6371650788</v>
      </c>
      <c r="K40" s="17">
        <v>27568145196</v>
      </c>
      <c r="L40" s="17">
        <v>2554608500</v>
      </c>
      <c r="M40" s="17">
        <v>1882846842</v>
      </c>
      <c r="N40" s="17">
        <v>32005600538</v>
      </c>
      <c r="O40" s="17">
        <v>949291237</v>
      </c>
      <c r="P40" s="17">
        <v>1215247203</v>
      </c>
      <c r="Q40" s="17">
        <v>1003566874</v>
      </c>
      <c r="R40" s="17">
        <v>3168105314</v>
      </c>
      <c r="S40" s="6">
        <v>41545356640</v>
      </c>
      <c r="T40" s="17">
        <v>786139544</v>
      </c>
      <c r="U40" s="17">
        <v>888667010</v>
      </c>
      <c r="V40" s="17">
        <v>699758010</v>
      </c>
      <c r="W40" s="18">
        <v>2374564564</v>
      </c>
      <c r="X40" s="17">
        <v>759665506</v>
      </c>
      <c r="Y40" s="17">
        <v>837058335</v>
      </c>
      <c r="Z40" s="31">
        <v>815252690</v>
      </c>
      <c r="AA40" s="31">
        <v>2411976531</v>
      </c>
      <c r="AB40" s="31">
        <v>4786541095</v>
      </c>
      <c r="AC40" s="31">
        <v>3248916976</v>
      </c>
      <c r="AD40" s="31">
        <v>24612660431.107262</v>
      </c>
      <c r="AE40" s="31">
        <v>3297056621</v>
      </c>
      <c r="AF40" s="31">
        <v>36239885431.107262</v>
      </c>
    </row>
    <row r="41" spans="1:32" ht="15.6" x14ac:dyDescent="0.3">
      <c r="A41" s="17" t="s">
        <v>33</v>
      </c>
      <c r="B41" s="17">
        <v>3360160943</v>
      </c>
      <c r="C41" s="17">
        <v>3893263623</v>
      </c>
      <c r="D41" s="17">
        <v>3610972800</v>
      </c>
      <c r="E41" s="18">
        <v>10864397366</v>
      </c>
      <c r="F41" s="17">
        <v>3633709553</v>
      </c>
      <c r="G41" s="17">
        <v>3756825399</v>
      </c>
      <c r="H41" s="17">
        <v>4089379311</v>
      </c>
      <c r="I41" s="17">
        <v>11479914263</v>
      </c>
      <c r="J41" s="17">
        <v>22344633252</v>
      </c>
      <c r="K41" s="17">
        <v>4453142392</v>
      </c>
      <c r="L41" s="17">
        <v>3525768968</v>
      </c>
      <c r="M41" s="17">
        <v>3973111268</v>
      </c>
      <c r="N41" s="17">
        <v>11952022628</v>
      </c>
      <c r="O41" s="17">
        <v>3151304387</v>
      </c>
      <c r="P41" s="17">
        <v>3337978839</v>
      </c>
      <c r="Q41" s="17">
        <v>4186718647</v>
      </c>
      <c r="R41" s="17">
        <v>10676001873</v>
      </c>
      <c r="S41" s="6">
        <v>44972657753</v>
      </c>
      <c r="T41" s="17">
        <v>3536683901</v>
      </c>
      <c r="U41" s="17">
        <v>3936078934</v>
      </c>
      <c r="V41" s="17">
        <v>3890118636</v>
      </c>
      <c r="W41" s="18">
        <v>11362881471</v>
      </c>
      <c r="X41" s="17">
        <v>3298442213</v>
      </c>
      <c r="Y41" s="17">
        <v>3595616236</v>
      </c>
      <c r="Z41" s="31">
        <v>4265088271</v>
      </c>
      <c r="AA41" s="31">
        <v>11159146720</v>
      </c>
      <c r="AB41" s="31">
        <v>22522028191</v>
      </c>
      <c r="AC41" s="31">
        <v>3383013507</v>
      </c>
      <c r="AD41" s="31">
        <v>3147055517.8927374</v>
      </c>
      <c r="AE41" s="31">
        <v>2356779517</v>
      </c>
      <c r="AF41" s="31">
        <v>9029505308.8927383</v>
      </c>
    </row>
    <row r="42" spans="1:32" x14ac:dyDescent="0.25">
      <c r="N42" s="20"/>
      <c r="Q42" s="21"/>
    </row>
    <row r="43" spans="1:32" x14ac:dyDescent="0.25">
      <c r="B43" s="21"/>
      <c r="C43" s="21"/>
      <c r="D43" s="21"/>
      <c r="F43" s="21"/>
      <c r="G43" s="21"/>
      <c r="H43" s="20"/>
      <c r="J43" s="21"/>
      <c r="K43" s="20"/>
      <c r="M43" s="20"/>
      <c r="S43" s="20"/>
    </row>
    <row r="44" spans="1:32" x14ac:dyDescent="0.25">
      <c r="D44" s="20"/>
      <c r="F44" s="20"/>
      <c r="G44" s="20"/>
      <c r="J44" s="20"/>
      <c r="K44" s="20"/>
      <c r="L44" s="21"/>
      <c r="M44" s="20"/>
      <c r="O44" s="21"/>
      <c r="P44" s="20"/>
      <c r="S44" s="20"/>
    </row>
    <row r="45" spans="1:32" x14ac:dyDescent="0.25">
      <c r="D45" s="22"/>
      <c r="E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32" x14ac:dyDescent="0.25">
      <c r="D46" s="11"/>
      <c r="E46" s="21"/>
      <c r="M46" s="20"/>
      <c r="N46" s="20"/>
      <c r="S46" s="24"/>
    </row>
    <row r="47" spans="1:32" x14ac:dyDescent="0.25">
      <c r="G47" s="20"/>
      <c r="M47" s="20"/>
      <c r="O47" s="20"/>
      <c r="S47" s="20"/>
    </row>
    <row r="48" spans="1:32" x14ac:dyDescent="0.25">
      <c r="G48" s="20"/>
      <c r="S48" s="20"/>
    </row>
    <row r="49" spans="17:19" x14ac:dyDescent="0.25">
      <c r="S49" s="20"/>
    </row>
    <row r="50" spans="17:19" x14ac:dyDescent="0.25">
      <c r="S50" s="20"/>
    </row>
    <row r="52" spans="17:19" x14ac:dyDescent="0.25">
      <c r="S52" s="20"/>
    </row>
    <row r="55" spans="17:19" x14ac:dyDescent="0.25">
      <c r="Q55" s="11"/>
      <c r="R55" s="11"/>
    </row>
  </sheetData>
  <pageMargins left="0.74803149606299213" right="0.23622047244094491" top="0.74803149606299213" bottom="0.74803149606299213" header="0.31496062992125984" footer="0.31496062992125984"/>
  <pageSetup scale="26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49"/>
  <sheetViews>
    <sheetView tabSelected="1" zoomScaleNormal="100" workbookViewId="0">
      <pane xSplit="1" ySplit="3" topLeftCell="BI4" activePane="bottomRight" state="frozen"/>
      <selection pane="topRight" activeCell="B1" sqref="B1"/>
      <selection pane="bottomLeft" activeCell="A4" sqref="A4"/>
      <selection pane="bottomRight" activeCell="BP1" sqref="BP1"/>
    </sheetView>
  </sheetViews>
  <sheetFormatPr defaultRowHeight="15.6" x14ac:dyDescent="0.3"/>
  <cols>
    <col min="1" max="1" width="35.33203125" customWidth="1"/>
    <col min="2" max="2" width="17.6640625" customWidth="1"/>
    <col min="3" max="5" width="17.88671875" customWidth="1"/>
    <col min="6" max="7" width="18.109375" customWidth="1"/>
    <col min="8" max="9" width="17.6640625" customWidth="1"/>
    <col min="10" max="10" width="19.44140625" bestFit="1" customWidth="1"/>
    <col min="11" max="13" width="17.6640625" customWidth="1"/>
    <col min="14" max="14" width="19.44140625" customWidth="1"/>
    <col min="15" max="18" width="17.6640625" customWidth="1"/>
    <col min="19" max="19" width="19.44140625" customWidth="1"/>
    <col min="20" max="20" width="17.88671875" customWidth="1"/>
    <col min="21" max="21" width="18.109375" customWidth="1"/>
    <col min="22" max="22" width="17.88671875" customWidth="1"/>
    <col min="23" max="23" width="17.33203125" customWidth="1"/>
    <col min="24" max="25" width="17.5546875" customWidth="1"/>
    <col min="26" max="27" width="20.5546875" bestFit="1" customWidth="1"/>
    <col min="28" max="28" width="22.33203125" bestFit="1" customWidth="1"/>
    <col min="29" max="32" width="20.5546875" bestFit="1" customWidth="1"/>
    <col min="33" max="33" width="23.6640625" customWidth="1"/>
    <col min="34" max="34" width="19.5546875" customWidth="1"/>
    <col min="35" max="35" width="17.6640625" customWidth="1"/>
    <col min="36" max="36" width="18" customWidth="1"/>
    <col min="37" max="37" width="20.88671875" customWidth="1"/>
    <col min="38" max="38" width="19.44140625" customWidth="1"/>
    <col min="39" max="40" width="20.5546875" style="55" bestFit="1" customWidth="1"/>
    <col min="41" max="46" width="17.77734375" bestFit="1" customWidth="1"/>
    <col min="47" max="47" width="19.44140625" bestFit="1" customWidth="1"/>
    <col min="48" max="48" width="17.77734375" bestFit="1" customWidth="1"/>
    <col min="49" max="52" width="17.77734375" customWidth="1"/>
    <col min="53" max="53" width="17.77734375" bestFit="1" customWidth="1"/>
    <col min="54" max="54" width="18.109375" bestFit="1" customWidth="1"/>
    <col min="55" max="55" width="17.77734375" bestFit="1" customWidth="1"/>
    <col min="56" max="57" width="19.44140625" bestFit="1" customWidth="1"/>
    <col min="58" max="61" width="17.77734375" bestFit="1" customWidth="1"/>
    <col min="62" max="64" width="18" bestFit="1" customWidth="1"/>
    <col min="65" max="65" width="17.77734375" bestFit="1" customWidth="1"/>
    <col min="66" max="66" width="19.44140625" bestFit="1" customWidth="1"/>
    <col min="67" max="69" width="17.77734375" bestFit="1" customWidth="1"/>
  </cols>
  <sheetData>
    <row r="1" spans="1:69" x14ac:dyDescent="0.3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AG1" s="35"/>
      <c r="AH1" s="1"/>
      <c r="AI1" s="1"/>
      <c r="AJ1" s="1"/>
      <c r="AK1" s="2"/>
      <c r="AL1" s="2"/>
    </row>
    <row r="2" spans="1:69" x14ac:dyDescent="0.3">
      <c r="AG2" s="20"/>
    </row>
    <row r="3" spans="1:69" ht="28.2" x14ac:dyDescent="0.3">
      <c r="A3" s="3" t="s">
        <v>0</v>
      </c>
      <c r="B3" s="4">
        <v>44743</v>
      </c>
      <c r="C3" s="4">
        <v>44774</v>
      </c>
      <c r="D3" s="4">
        <v>44805</v>
      </c>
      <c r="E3" s="4" t="s">
        <v>1</v>
      </c>
      <c r="F3" s="4">
        <v>44835</v>
      </c>
      <c r="G3" s="4">
        <v>44866</v>
      </c>
      <c r="H3" s="4">
        <v>44896</v>
      </c>
      <c r="I3" s="4" t="s">
        <v>2</v>
      </c>
      <c r="J3" s="4" t="s">
        <v>3</v>
      </c>
      <c r="K3" s="4">
        <v>44927</v>
      </c>
      <c r="L3" s="4">
        <v>44958</v>
      </c>
      <c r="M3" s="4">
        <v>44986</v>
      </c>
      <c r="N3" s="4" t="s">
        <v>4</v>
      </c>
      <c r="O3" s="4">
        <v>45017</v>
      </c>
      <c r="P3" s="4">
        <v>45047</v>
      </c>
      <c r="Q3" s="4">
        <v>45078</v>
      </c>
      <c r="R3" s="5" t="s">
        <v>5</v>
      </c>
      <c r="S3" s="5" t="s">
        <v>6</v>
      </c>
      <c r="T3" s="4">
        <v>45108</v>
      </c>
      <c r="U3" s="4">
        <v>45139</v>
      </c>
      <c r="V3" s="4">
        <v>45170</v>
      </c>
      <c r="W3" s="4" t="s">
        <v>38</v>
      </c>
      <c r="X3" s="4">
        <v>45200</v>
      </c>
      <c r="Y3" s="4">
        <v>45231</v>
      </c>
      <c r="Z3" s="4">
        <v>45261</v>
      </c>
      <c r="AA3" s="4" t="s">
        <v>2</v>
      </c>
      <c r="AB3" s="4" t="s">
        <v>39</v>
      </c>
      <c r="AC3" s="4">
        <v>45292</v>
      </c>
      <c r="AD3" s="4">
        <v>45323</v>
      </c>
      <c r="AE3" s="4">
        <v>45352</v>
      </c>
      <c r="AF3" s="32" t="s">
        <v>40</v>
      </c>
      <c r="AG3" s="4">
        <v>45383</v>
      </c>
      <c r="AH3" s="4">
        <v>45413</v>
      </c>
      <c r="AI3" s="4">
        <v>45444</v>
      </c>
      <c r="AJ3" s="5" t="s">
        <v>43</v>
      </c>
      <c r="AK3" s="46" t="s">
        <v>42</v>
      </c>
      <c r="AL3" s="37" t="s">
        <v>41</v>
      </c>
      <c r="AM3" s="56">
        <v>45474</v>
      </c>
      <c r="AN3" s="56">
        <v>45505</v>
      </c>
      <c r="AO3" s="4">
        <v>45536</v>
      </c>
      <c r="AP3" s="4" t="s">
        <v>44</v>
      </c>
      <c r="AQ3" s="4">
        <v>45566</v>
      </c>
      <c r="AR3" s="4">
        <v>45597</v>
      </c>
      <c r="AS3" s="4">
        <v>45627</v>
      </c>
      <c r="AT3" s="4" t="s">
        <v>45</v>
      </c>
      <c r="AU3" s="4" t="s">
        <v>46</v>
      </c>
      <c r="AV3" s="4">
        <v>45658</v>
      </c>
      <c r="AW3" s="4">
        <v>45689</v>
      </c>
      <c r="AX3" s="4">
        <v>45717</v>
      </c>
      <c r="AY3" s="4" t="s">
        <v>47</v>
      </c>
      <c r="AZ3" s="4">
        <v>45748</v>
      </c>
      <c r="BA3" s="4">
        <v>45778</v>
      </c>
      <c r="BB3" s="4">
        <v>45809</v>
      </c>
      <c r="BC3" s="5" t="s">
        <v>48</v>
      </c>
      <c r="BD3" s="5" t="s">
        <v>49</v>
      </c>
      <c r="BE3" s="37" t="s">
        <v>50</v>
      </c>
      <c r="BF3" s="4">
        <v>45839</v>
      </c>
      <c r="BG3" s="4">
        <v>45870</v>
      </c>
      <c r="BH3" s="4">
        <v>45901</v>
      </c>
      <c r="BI3" s="4" t="s">
        <v>54</v>
      </c>
      <c r="BJ3" s="4">
        <v>45931</v>
      </c>
      <c r="BK3" s="4">
        <v>45962</v>
      </c>
      <c r="BL3" s="4">
        <v>45992</v>
      </c>
      <c r="BM3" s="4" t="s">
        <v>55</v>
      </c>
      <c r="BN3" s="4" t="s">
        <v>56</v>
      </c>
      <c r="BO3" s="4">
        <v>46023</v>
      </c>
      <c r="BP3" s="4">
        <v>46054</v>
      </c>
      <c r="BQ3" s="4">
        <v>46082</v>
      </c>
    </row>
    <row r="4" spans="1:69" x14ac:dyDescent="0.3">
      <c r="A4" s="3" t="s">
        <v>7</v>
      </c>
      <c r="B4" s="6">
        <v>57752798065</v>
      </c>
      <c r="C4" s="6">
        <v>64182180951</v>
      </c>
      <c r="D4" s="6">
        <v>110655099573</v>
      </c>
      <c r="E4" s="6">
        <v>232590078589</v>
      </c>
      <c r="F4" s="6">
        <v>54724545835.75</v>
      </c>
      <c r="G4" s="6">
        <v>73333601747</v>
      </c>
      <c r="H4" s="6">
        <v>121975182047.33</v>
      </c>
      <c r="I4" s="6">
        <v>250033329630.08002</v>
      </c>
      <c r="J4" s="6">
        <v>482623408219.08002</v>
      </c>
      <c r="K4" s="6">
        <v>67747045642.5</v>
      </c>
      <c r="L4" s="6">
        <v>51052063370</v>
      </c>
      <c r="M4" s="6">
        <v>151906341383</v>
      </c>
      <c r="N4" s="6">
        <v>270705450395.5</v>
      </c>
      <c r="O4" s="6">
        <v>91111946560</v>
      </c>
      <c r="P4" s="6">
        <v>70058552693.220001</v>
      </c>
      <c r="Q4" s="6">
        <v>145671485925.71994</v>
      </c>
      <c r="R4" s="6">
        <v>306841985178.93994</v>
      </c>
      <c r="S4" s="6">
        <v>1060170843793.52</v>
      </c>
      <c r="T4" s="6">
        <v>72965021332</v>
      </c>
      <c r="U4" s="6">
        <v>72063454140</v>
      </c>
      <c r="V4" s="6">
        <v>112193973259</v>
      </c>
      <c r="W4" s="6">
        <v>257222448731</v>
      </c>
      <c r="X4" s="30">
        <v>83142949390</v>
      </c>
      <c r="Y4" s="30">
        <v>71982036935</v>
      </c>
      <c r="Z4" s="6">
        <v>130864218883.75999</v>
      </c>
      <c r="AA4" s="6">
        <v>285989205208.76001</v>
      </c>
      <c r="AB4" s="6">
        <v>543211653939.76001</v>
      </c>
      <c r="AC4" s="6">
        <v>88180214958.5</v>
      </c>
      <c r="AD4" s="6">
        <v>66304395379</v>
      </c>
      <c r="AE4" s="6">
        <v>93235650080</v>
      </c>
      <c r="AF4" s="6">
        <v>247720260417.5</v>
      </c>
      <c r="AG4" s="6">
        <f t="shared" ref="AG4:AL4" si="0">AG5+AG6+AG7+AG8+AG9+AG10</f>
        <v>133458649087.34</v>
      </c>
      <c r="AH4" s="6">
        <f t="shared" si="0"/>
        <v>72893279871</v>
      </c>
      <c r="AI4" s="6">
        <f t="shared" si="0"/>
        <v>171349173860</v>
      </c>
      <c r="AJ4" s="6">
        <f t="shared" si="0"/>
        <v>377701102818.33997</v>
      </c>
      <c r="AK4" s="47">
        <f t="shared" si="0"/>
        <v>625641443593.83997</v>
      </c>
      <c r="AL4" s="6">
        <f t="shared" si="0"/>
        <v>1168853097533.5999</v>
      </c>
      <c r="AM4" s="6">
        <v>76304852135</v>
      </c>
      <c r="AN4" s="6">
        <v>83591382758</v>
      </c>
      <c r="AO4" s="6">
        <v>144091573109</v>
      </c>
      <c r="AP4" s="6">
        <v>303987808002</v>
      </c>
      <c r="AQ4" s="30">
        <v>89163980851</v>
      </c>
      <c r="AR4" s="30">
        <v>88618948157</v>
      </c>
      <c r="AS4" s="30">
        <v>161293146134.47</v>
      </c>
      <c r="AT4" s="30">
        <v>339076075142.46997</v>
      </c>
      <c r="AU4" s="57">
        <f>AP4+AT4</f>
        <v>643063883144.46997</v>
      </c>
      <c r="AV4" s="6">
        <v>88986832311</v>
      </c>
      <c r="AW4" s="6">
        <v>77899475373</v>
      </c>
      <c r="AX4" s="6">
        <v>152896116835</v>
      </c>
      <c r="AY4" s="6">
        <v>319782424519</v>
      </c>
      <c r="AZ4" s="6">
        <v>109822698329</v>
      </c>
      <c r="BA4" s="6">
        <v>82650438942</v>
      </c>
      <c r="BB4" s="6">
        <v>202646458571</v>
      </c>
      <c r="BC4" s="6">
        <v>395119595842</v>
      </c>
      <c r="BD4" s="6">
        <v>714902020361</v>
      </c>
      <c r="BE4" s="6">
        <v>1357965903505.47</v>
      </c>
      <c r="BF4" s="6">
        <v>91811078985</v>
      </c>
      <c r="BG4" s="6">
        <v>90362283529.110001</v>
      </c>
      <c r="BH4" s="6">
        <v>177158855309</v>
      </c>
      <c r="BI4" s="6">
        <v>359332217823.10999</v>
      </c>
      <c r="BJ4" s="30">
        <v>114020021781</v>
      </c>
      <c r="BK4" s="30">
        <v>85410054445</v>
      </c>
      <c r="BL4" s="30">
        <v>195928869187.99002</v>
      </c>
      <c r="BM4" s="30">
        <v>395358945413.98999</v>
      </c>
      <c r="BN4" s="6">
        <v>754691163237.09998</v>
      </c>
      <c r="BO4" s="6">
        <v>115309046197.04004</v>
      </c>
      <c r="BP4" s="6">
        <v>86769728509.200012</v>
      </c>
      <c r="BQ4" s="6">
        <v>222102460179.5</v>
      </c>
    </row>
    <row r="5" spans="1:69" x14ac:dyDescent="0.25">
      <c r="A5" s="7" t="s">
        <v>8</v>
      </c>
      <c r="B5" s="8">
        <v>35989342374</v>
      </c>
      <c r="C5" s="8">
        <v>43528584793</v>
      </c>
      <c r="D5" s="8">
        <v>47056621029</v>
      </c>
      <c r="E5" s="8">
        <v>126574548196</v>
      </c>
      <c r="F5" s="8">
        <v>36914959699</v>
      </c>
      <c r="G5" s="8">
        <v>44173963527</v>
      </c>
      <c r="H5" s="8">
        <v>44307071640</v>
      </c>
      <c r="I5" s="8">
        <v>125395994866</v>
      </c>
      <c r="J5" s="8">
        <v>251970543062</v>
      </c>
      <c r="K5" s="8">
        <v>44671434915</v>
      </c>
      <c r="L5" s="8">
        <v>37888466651</v>
      </c>
      <c r="M5" s="8">
        <v>46323060384</v>
      </c>
      <c r="N5" s="8">
        <v>128882961950</v>
      </c>
      <c r="O5" s="8">
        <v>44913935954</v>
      </c>
      <c r="P5" s="8">
        <v>43062428270</v>
      </c>
      <c r="Q5" s="8">
        <v>51117115209</v>
      </c>
      <c r="R5" s="8">
        <v>139093479433</v>
      </c>
      <c r="S5" s="8">
        <v>519946984445</v>
      </c>
      <c r="T5" s="8">
        <v>43593125621</v>
      </c>
      <c r="U5" s="8">
        <v>47744312688</v>
      </c>
      <c r="V5" s="8">
        <v>48067709396</v>
      </c>
      <c r="W5" s="8">
        <v>139405147705</v>
      </c>
      <c r="X5" s="8">
        <v>46106239963</v>
      </c>
      <c r="Y5" s="8">
        <v>50563359332</v>
      </c>
      <c r="Z5" s="8">
        <v>45727876092</v>
      </c>
      <c r="AA5" s="8">
        <v>142397475387</v>
      </c>
      <c r="AB5" s="8">
        <v>281802623092</v>
      </c>
      <c r="AC5" s="8">
        <v>50209880702</v>
      </c>
      <c r="AD5" s="8">
        <v>46197190226</v>
      </c>
      <c r="AE5" s="8">
        <v>46596771454</v>
      </c>
      <c r="AF5" s="8">
        <v>143003842382</v>
      </c>
      <c r="AG5" s="8">
        <v>50263818284</v>
      </c>
      <c r="AH5" s="8">
        <v>47788321662</v>
      </c>
      <c r="AI5" s="8">
        <v>50519105101.5</v>
      </c>
      <c r="AJ5" s="8">
        <v>148571245047.5</v>
      </c>
      <c r="AK5" s="48">
        <v>291575087429.5</v>
      </c>
      <c r="AL5" s="8">
        <v>573377710521.5</v>
      </c>
      <c r="AM5" s="8">
        <v>47463771092</v>
      </c>
      <c r="AN5" s="8">
        <v>50870394453</v>
      </c>
      <c r="AO5" s="8">
        <v>47588542323</v>
      </c>
      <c r="AP5" s="8">
        <v>145922707868</v>
      </c>
      <c r="AQ5" s="8">
        <v>52870302632</v>
      </c>
      <c r="AR5" s="8">
        <v>50093972825</v>
      </c>
      <c r="AS5" s="8">
        <v>51227598203</v>
      </c>
      <c r="AT5" s="8">
        <v>154191873660</v>
      </c>
      <c r="AU5" s="6">
        <f t="shared" ref="AU5:AU34" si="1">AP5+AT5</f>
        <v>300114581528</v>
      </c>
      <c r="AV5" s="8">
        <v>57111925969</v>
      </c>
      <c r="AW5" s="8">
        <v>52978726710</v>
      </c>
      <c r="AX5" s="8">
        <v>55542141669</v>
      </c>
      <c r="AY5" s="8">
        <v>165632794348</v>
      </c>
      <c r="AZ5" s="8">
        <v>60288974882</v>
      </c>
      <c r="BA5" s="8">
        <v>58024205672</v>
      </c>
      <c r="BB5" s="8">
        <v>57647519635</v>
      </c>
      <c r="BC5" s="8">
        <v>175960700189</v>
      </c>
      <c r="BD5" s="8">
        <v>341593494537</v>
      </c>
      <c r="BE5" s="8">
        <v>641708076065</v>
      </c>
      <c r="BF5" s="8">
        <v>58690620058</v>
      </c>
      <c r="BG5" s="8">
        <v>58664607378.110001</v>
      </c>
      <c r="BH5" s="8">
        <v>59280314636</v>
      </c>
      <c r="BI5" s="8">
        <v>176635542072.10999</v>
      </c>
      <c r="BJ5" s="8">
        <v>64020034017</v>
      </c>
      <c r="BK5" s="8">
        <v>58410651933</v>
      </c>
      <c r="BL5" s="8">
        <v>64829074574.990013</v>
      </c>
      <c r="BM5" s="8">
        <v>187259760524.99002</v>
      </c>
      <c r="BN5" s="8">
        <v>363895302597.09998</v>
      </c>
      <c r="BO5" s="8">
        <v>66188324047.040039</v>
      </c>
      <c r="BP5" s="8">
        <v>59208072638.000015</v>
      </c>
      <c r="BQ5" s="8">
        <v>63254683912</v>
      </c>
    </row>
    <row r="6" spans="1:69" x14ac:dyDescent="0.25">
      <c r="A6" s="7" t="s">
        <v>9</v>
      </c>
      <c r="B6" s="8">
        <v>1194557539</v>
      </c>
      <c r="C6" s="8">
        <v>2275498152</v>
      </c>
      <c r="D6" s="8">
        <v>40864715599</v>
      </c>
      <c r="E6" s="8">
        <v>44334771290</v>
      </c>
      <c r="F6" s="8">
        <v>1906520918.75</v>
      </c>
      <c r="G6" s="8">
        <v>1817486409</v>
      </c>
      <c r="H6" s="8">
        <v>44132299004</v>
      </c>
      <c r="I6" s="8">
        <v>47856306331.75</v>
      </c>
      <c r="J6" s="8">
        <v>92191077621.75</v>
      </c>
      <c r="K6" s="8">
        <v>3414394000</v>
      </c>
      <c r="L6" s="8">
        <v>1376831670</v>
      </c>
      <c r="M6" s="8">
        <v>76030030440</v>
      </c>
      <c r="N6" s="8">
        <v>80821256110</v>
      </c>
      <c r="O6" s="8">
        <v>23822910560</v>
      </c>
      <c r="P6" s="8">
        <v>4946069882.1900005</v>
      </c>
      <c r="Q6" s="8">
        <v>54587134003.25</v>
      </c>
      <c r="R6" s="8">
        <v>83356114445.440002</v>
      </c>
      <c r="S6" s="8">
        <v>256368448177.19</v>
      </c>
      <c r="T6" s="8">
        <v>3889617391</v>
      </c>
      <c r="U6" s="8">
        <v>1922250258</v>
      </c>
      <c r="V6" s="8">
        <v>46659390238</v>
      </c>
      <c r="W6" s="8">
        <v>52471257887</v>
      </c>
      <c r="X6" s="8">
        <v>16243564328</v>
      </c>
      <c r="Y6" s="8">
        <v>2646904806</v>
      </c>
      <c r="Z6" s="8">
        <v>62447695983</v>
      </c>
      <c r="AA6" s="8">
        <v>81338165117</v>
      </c>
      <c r="AB6" s="8">
        <v>133809423004</v>
      </c>
      <c r="AC6" s="8">
        <v>12996712659</v>
      </c>
      <c r="AD6" s="8">
        <v>3102993473</v>
      </c>
      <c r="AE6" s="8">
        <v>28836024534</v>
      </c>
      <c r="AF6" s="8">
        <v>44935730666</v>
      </c>
      <c r="AG6" s="8">
        <v>52038548036.339996</v>
      </c>
      <c r="AH6" s="8">
        <v>5220064791</v>
      </c>
      <c r="AI6" s="8">
        <v>65245915656</v>
      </c>
      <c r="AJ6" s="8">
        <v>122504528483.34</v>
      </c>
      <c r="AK6" s="48">
        <v>167660339507.34</v>
      </c>
      <c r="AL6" s="8">
        <v>301469762511.33997</v>
      </c>
      <c r="AM6" s="6">
        <v>28180486906</v>
      </c>
      <c r="AN6" s="6">
        <v>32121751498</v>
      </c>
      <c r="AO6" s="6">
        <v>95906329083</v>
      </c>
      <c r="AP6" s="6">
        <v>156208567487</v>
      </c>
      <c r="AQ6" s="6">
        <v>35709161994</v>
      </c>
      <c r="AR6" s="6">
        <v>38008585290</v>
      </c>
      <c r="AS6" s="6">
        <v>109456845252.47</v>
      </c>
      <c r="AT6" s="6">
        <v>183174592536.47</v>
      </c>
      <c r="AU6" s="6">
        <f t="shared" si="1"/>
        <v>339383160023.46997</v>
      </c>
      <c r="AV6" s="6">
        <v>31239143229</v>
      </c>
      <c r="AW6" s="6">
        <v>24308462166</v>
      </c>
      <c r="AX6" s="6">
        <v>96722998692</v>
      </c>
      <c r="AY6" s="6">
        <v>152270604087</v>
      </c>
      <c r="AZ6" s="6">
        <v>48634904469</v>
      </c>
      <c r="BA6" s="6">
        <v>23484297274</v>
      </c>
      <c r="BB6" s="6">
        <v>143184378960</v>
      </c>
      <c r="BC6" s="6">
        <v>215303580703</v>
      </c>
      <c r="BD6" s="6">
        <v>367574184790</v>
      </c>
      <c r="BE6" s="6">
        <v>706957344813.46997</v>
      </c>
      <c r="BF6" s="6">
        <v>32274705019</v>
      </c>
      <c r="BG6" s="6">
        <v>30770072461</v>
      </c>
      <c r="BH6" s="6">
        <v>116912557570</v>
      </c>
      <c r="BI6" s="6">
        <v>179957335050</v>
      </c>
      <c r="BJ6" s="6">
        <v>48776804735</v>
      </c>
      <c r="BK6" s="6">
        <v>25821979341</v>
      </c>
      <c r="BL6" s="6">
        <v>129971947973</v>
      </c>
      <c r="BM6" s="6">
        <v>204570732049</v>
      </c>
      <c r="BN6" s="6">
        <v>384528067099</v>
      </c>
      <c r="BO6" s="6">
        <v>48222974562.999992</v>
      </c>
      <c r="BP6" s="6">
        <v>26630188106.200001</v>
      </c>
      <c r="BQ6" s="6">
        <v>157634307267.5</v>
      </c>
    </row>
    <row r="7" spans="1:69" x14ac:dyDescent="0.3">
      <c r="A7" s="7" t="s">
        <v>10</v>
      </c>
      <c r="B7" s="8">
        <v>15684033851</v>
      </c>
      <c r="C7" s="8">
        <v>11765918473</v>
      </c>
      <c r="D7" s="8">
        <v>17883630769</v>
      </c>
      <c r="E7" s="8">
        <v>45333583093</v>
      </c>
      <c r="F7" s="8">
        <v>10501334928</v>
      </c>
      <c r="G7" s="8">
        <v>22011939943</v>
      </c>
      <c r="H7" s="8">
        <v>28271514605.330002</v>
      </c>
      <c r="I7" s="8">
        <v>60784789476.330002</v>
      </c>
      <c r="J7" s="8">
        <v>106118372569.33</v>
      </c>
      <c r="K7" s="8">
        <v>14703000645.5</v>
      </c>
      <c r="L7" s="8">
        <v>6902071978</v>
      </c>
      <c r="M7" s="8">
        <v>23815187545</v>
      </c>
      <c r="N7" s="8">
        <v>45420260168.5</v>
      </c>
      <c r="O7" s="8">
        <v>17757727377</v>
      </c>
      <c r="P7" s="8">
        <v>16866433475.029999</v>
      </c>
      <c r="Q7" s="8">
        <v>33290725788.469936</v>
      </c>
      <c r="R7" s="8">
        <v>67914886640.499939</v>
      </c>
      <c r="S7" s="8">
        <v>219453519378.32996</v>
      </c>
      <c r="T7" s="8">
        <v>19778164711</v>
      </c>
      <c r="U7" s="8">
        <v>17371435848</v>
      </c>
      <c r="V7" s="8">
        <v>12718912217</v>
      </c>
      <c r="W7" s="8">
        <v>49868512776</v>
      </c>
      <c r="X7" s="8">
        <v>15609035762</v>
      </c>
      <c r="Y7" s="8">
        <v>13895436206</v>
      </c>
      <c r="Z7" s="8">
        <v>17305463059</v>
      </c>
      <c r="AA7" s="8">
        <v>46809935027</v>
      </c>
      <c r="AB7" s="8">
        <v>96678447803</v>
      </c>
      <c r="AC7" s="8">
        <v>20132619152.5</v>
      </c>
      <c r="AD7" s="8">
        <v>11154593567</v>
      </c>
      <c r="AE7" s="8">
        <v>11170602888</v>
      </c>
      <c r="AF7" s="8">
        <v>42457815607.5</v>
      </c>
      <c r="AG7" s="8">
        <v>23744799303</v>
      </c>
      <c r="AH7" s="8">
        <v>11923619713</v>
      </c>
      <c r="AI7" s="8">
        <v>46234994722.125</v>
      </c>
      <c r="AJ7" s="8">
        <v>81903413738.125</v>
      </c>
      <c r="AK7" s="48">
        <v>124361229345.625</v>
      </c>
      <c r="AL7" s="8">
        <v>221039677148.625</v>
      </c>
      <c r="AM7" s="54">
        <v>16302735376</v>
      </c>
      <c r="AN7" s="54">
        <v>21475926463</v>
      </c>
      <c r="AO7" s="54">
        <v>22842052167</v>
      </c>
      <c r="AP7" s="54">
        <v>60620714006</v>
      </c>
      <c r="AQ7" s="54">
        <v>18522900461</v>
      </c>
      <c r="AR7" s="54">
        <v>28132989513</v>
      </c>
      <c r="AS7" s="54">
        <v>26252851796</v>
      </c>
      <c r="AT7" s="54">
        <v>72908741770</v>
      </c>
      <c r="AU7" s="54">
        <f t="shared" si="1"/>
        <v>133529455776</v>
      </c>
      <c r="AV7" s="54">
        <v>20651421770</v>
      </c>
      <c r="AW7" s="54">
        <v>10774969340</v>
      </c>
      <c r="AX7" s="54">
        <v>15971528654</v>
      </c>
      <c r="AY7" s="54">
        <v>47397919764</v>
      </c>
      <c r="AZ7" s="54">
        <v>25617530024</v>
      </c>
      <c r="BA7" s="54">
        <v>10889397889</v>
      </c>
      <c r="BB7" s="54">
        <v>62811835459</v>
      </c>
      <c r="BC7" s="8">
        <v>99318763372</v>
      </c>
      <c r="BD7" s="8">
        <v>146716683136</v>
      </c>
      <c r="BE7" s="8">
        <v>280246138912</v>
      </c>
      <c r="BF7" s="8">
        <v>21287961937</v>
      </c>
      <c r="BG7" s="8">
        <v>21687879278</v>
      </c>
      <c r="BH7" s="8">
        <v>30755548116</v>
      </c>
      <c r="BI7" s="8">
        <v>73731389331</v>
      </c>
      <c r="BJ7" s="8">
        <v>36012671251</v>
      </c>
      <c r="BK7" s="8">
        <v>14240983525</v>
      </c>
      <c r="BL7" s="8">
        <v>45723616548.000008</v>
      </c>
      <c r="BM7" s="8">
        <v>95977271324</v>
      </c>
      <c r="BN7" s="8">
        <v>169708660655</v>
      </c>
      <c r="BO7" s="8">
        <v>37628174473</v>
      </c>
      <c r="BP7" s="8">
        <v>13213551859.999989</v>
      </c>
      <c r="BQ7" s="8">
        <v>21726849698</v>
      </c>
    </row>
    <row r="8" spans="1:69" x14ac:dyDescent="0.3">
      <c r="A8" s="7" t="s">
        <v>11</v>
      </c>
      <c r="B8" s="8">
        <v>1651912117</v>
      </c>
      <c r="C8" s="8">
        <v>2727133788</v>
      </c>
      <c r="D8" s="8">
        <v>1245916981</v>
      </c>
      <c r="E8" s="8">
        <v>5624962886</v>
      </c>
      <c r="F8" s="8">
        <v>2237686477</v>
      </c>
      <c r="G8" s="8">
        <v>1852120743</v>
      </c>
      <c r="H8" s="8">
        <v>1829303525</v>
      </c>
      <c r="I8" s="8">
        <v>5919110745</v>
      </c>
      <c r="J8" s="8">
        <v>11544073631</v>
      </c>
      <c r="K8" s="8">
        <v>1821358155</v>
      </c>
      <c r="L8" s="8">
        <v>1162156190</v>
      </c>
      <c r="M8" s="8">
        <v>2147027854</v>
      </c>
      <c r="N8" s="8">
        <v>5130542199</v>
      </c>
      <c r="O8" s="8">
        <v>1663150445</v>
      </c>
      <c r="P8" s="8">
        <v>1644528845</v>
      </c>
      <c r="Q8" s="8">
        <v>3367613480</v>
      </c>
      <c r="R8" s="8">
        <v>6675292770</v>
      </c>
      <c r="S8" s="8">
        <v>23349908600</v>
      </c>
      <c r="T8" s="8">
        <v>2330081978</v>
      </c>
      <c r="U8" s="8">
        <v>1513455346</v>
      </c>
      <c r="V8" s="8">
        <v>1391643677</v>
      </c>
      <c r="W8" s="8">
        <v>5235181001</v>
      </c>
      <c r="X8" s="8">
        <v>1876334224</v>
      </c>
      <c r="Y8" s="8">
        <v>1641920381</v>
      </c>
      <c r="Z8" s="8">
        <v>2058982161.76</v>
      </c>
      <c r="AA8" s="8">
        <v>5577236766.7600002</v>
      </c>
      <c r="AB8" s="8">
        <v>10812417767.76</v>
      </c>
      <c r="AC8" s="8">
        <v>1605140215</v>
      </c>
      <c r="AD8" s="8">
        <v>1677308789</v>
      </c>
      <c r="AE8" s="8">
        <v>1755333747</v>
      </c>
      <c r="AF8" s="8">
        <v>5037782751</v>
      </c>
      <c r="AG8" s="8">
        <v>1797544780</v>
      </c>
      <c r="AH8" s="8">
        <v>2820808197</v>
      </c>
      <c r="AI8" s="8">
        <v>4465479539.375</v>
      </c>
      <c r="AJ8" s="8">
        <v>9083832516.375</v>
      </c>
      <c r="AK8" s="48">
        <v>14121615267.375</v>
      </c>
      <c r="AL8" s="8">
        <v>24934033035.135002</v>
      </c>
      <c r="AM8" s="54">
        <v>2674722785</v>
      </c>
      <c r="AN8" s="54">
        <v>1842184407</v>
      </c>
      <c r="AO8" s="54">
        <v>1961562088.9999998</v>
      </c>
      <c r="AP8" s="54">
        <v>6478469281</v>
      </c>
      <c r="AQ8" s="54">
        <v>2085356793</v>
      </c>
      <c r="AR8" s="54">
        <v>1694378521</v>
      </c>
      <c r="AS8" s="54">
        <v>2373163048</v>
      </c>
      <c r="AT8" s="54">
        <v>6152898362</v>
      </c>
      <c r="AU8" s="54">
        <f t="shared" si="1"/>
        <v>12631367643</v>
      </c>
      <c r="AV8" s="54">
        <v>1924539256</v>
      </c>
      <c r="AW8" s="54">
        <v>2591856553</v>
      </c>
      <c r="AX8" s="54">
        <v>1940253851</v>
      </c>
      <c r="AY8" s="54">
        <v>6456649660</v>
      </c>
      <c r="AZ8" s="54">
        <v>1707858609</v>
      </c>
      <c r="BA8" s="54">
        <v>1877464453</v>
      </c>
      <c r="BB8" s="54">
        <v>3480300541</v>
      </c>
      <c r="BC8" s="8">
        <v>7065623603</v>
      </c>
      <c r="BD8" s="8">
        <v>13522273263</v>
      </c>
      <c r="BE8" s="8">
        <v>26153640906</v>
      </c>
      <c r="BF8" s="8">
        <v>2245461230</v>
      </c>
      <c r="BG8" s="8">
        <v>2014895204</v>
      </c>
      <c r="BH8" s="8">
        <v>1850712806.0000005</v>
      </c>
      <c r="BI8" s="8">
        <v>6111069240</v>
      </c>
      <c r="BJ8" s="8">
        <v>2417845528</v>
      </c>
      <c r="BK8" s="8">
        <v>2183314476.9999995</v>
      </c>
      <c r="BL8" s="8">
        <v>2172434989</v>
      </c>
      <c r="BM8" s="8">
        <v>6773594994</v>
      </c>
      <c r="BN8" s="8">
        <v>12884664234</v>
      </c>
      <c r="BO8" s="8">
        <v>1917760857</v>
      </c>
      <c r="BP8" s="8">
        <v>3518604636</v>
      </c>
      <c r="BQ8" s="8">
        <v>2571954181</v>
      </c>
    </row>
    <row r="9" spans="1:69" x14ac:dyDescent="0.3">
      <c r="A9" s="7" t="s">
        <v>12</v>
      </c>
      <c r="B9" s="8">
        <v>2869255012</v>
      </c>
      <c r="C9" s="8">
        <v>3417475510</v>
      </c>
      <c r="D9" s="8">
        <v>3217685266</v>
      </c>
      <c r="E9" s="8">
        <v>9504415788</v>
      </c>
      <c r="F9" s="8">
        <v>2735157813</v>
      </c>
      <c r="G9" s="8">
        <v>3001704358</v>
      </c>
      <c r="H9" s="8">
        <v>3032326620</v>
      </c>
      <c r="I9" s="8">
        <v>8769188791</v>
      </c>
      <c r="J9" s="8">
        <v>18273604579</v>
      </c>
      <c r="K9" s="8">
        <v>2754888665</v>
      </c>
      <c r="L9" s="8">
        <v>3328274764</v>
      </c>
      <c r="M9" s="8">
        <v>3077633188</v>
      </c>
      <c r="N9" s="8">
        <v>9160796617</v>
      </c>
      <c r="O9" s="8">
        <v>2445755350</v>
      </c>
      <c r="P9" s="8">
        <v>2943743354</v>
      </c>
      <c r="Q9" s="8">
        <v>2799853441</v>
      </c>
      <c r="R9" s="8">
        <v>8189352145</v>
      </c>
      <c r="S9" s="8">
        <v>35623753341</v>
      </c>
      <c r="T9" s="8">
        <v>2904653233</v>
      </c>
      <c r="U9" s="8">
        <v>3081420140</v>
      </c>
      <c r="V9" s="8">
        <v>2848888934</v>
      </c>
      <c r="W9" s="8">
        <v>8834962307</v>
      </c>
      <c r="X9" s="8">
        <v>2856924070</v>
      </c>
      <c r="Y9" s="8">
        <v>2775783676</v>
      </c>
      <c r="Z9" s="8">
        <v>2889389280</v>
      </c>
      <c r="AA9" s="8">
        <v>8522097026</v>
      </c>
      <c r="AB9" s="8">
        <v>17357059333</v>
      </c>
      <c r="AC9" s="8">
        <v>2683154275</v>
      </c>
      <c r="AD9" s="8">
        <v>3725875893</v>
      </c>
      <c r="AE9" s="8">
        <v>4433955803</v>
      </c>
      <c r="AF9" s="8">
        <v>10842985971</v>
      </c>
      <c r="AG9" s="8">
        <v>5137039521</v>
      </c>
      <c r="AH9" s="8">
        <v>4536287110</v>
      </c>
      <c r="AI9" s="8">
        <v>4062675596</v>
      </c>
      <c r="AJ9" s="8">
        <v>13736002227</v>
      </c>
      <c r="AK9" s="48">
        <v>24578988198</v>
      </c>
      <c r="AL9" s="8">
        <v>41936047531</v>
      </c>
      <c r="AM9" s="54">
        <v>4578293681</v>
      </c>
      <c r="AN9" s="54">
        <v>4413278591</v>
      </c>
      <c r="AO9" s="54">
        <v>3877608751</v>
      </c>
      <c r="AP9" s="54">
        <v>12869181023</v>
      </c>
      <c r="AQ9" s="54">
        <v>4081013476</v>
      </c>
      <c r="AR9" s="54">
        <v>3550246812</v>
      </c>
      <c r="AS9" s="54">
        <v>3943066765</v>
      </c>
      <c r="AT9" s="54">
        <v>11574327053</v>
      </c>
      <c r="AU9" s="54">
        <f t="shared" si="1"/>
        <v>24443508076</v>
      </c>
      <c r="AV9" s="54">
        <v>3838897560</v>
      </c>
      <c r="AW9" s="54">
        <v>5020884343</v>
      </c>
      <c r="AX9" s="54">
        <v>4167451716</v>
      </c>
      <c r="AY9" s="54">
        <v>13027233619</v>
      </c>
      <c r="AZ9" s="54">
        <v>3762458749</v>
      </c>
      <c r="BA9" s="54">
        <v>3819258577</v>
      </c>
      <c r="BB9" s="54">
        <v>3761413093</v>
      </c>
      <c r="BC9" s="8">
        <v>11343130419</v>
      </c>
      <c r="BD9" s="8">
        <v>24370364038</v>
      </c>
      <c r="BE9" s="8">
        <v>48813872114</v>
      </c>
      <c r="BF9" s="8">
        <v>4270179701</v>
      </c>
      <c r="BG9" s="8">
        <v>4088961642</v>
      </c>
      <c r="BH9" s="8">
        <v>3909381646</v>
      </c>
      <c r="BI9" s="8">
        <v>12268522989</v>
      </c>
      <c r="BJ9" s="8">
        <v>4435851280</v>
      </c>
      <c r="BK9" s="8">
        <v>3806623958</v>
      </c>
      <c r="BL9" s="8">
        <v>4764018307</v>
      </c>
      <c r="BM9" s="8">
        <v>13006493545</v>
      </c>
      <c r="BN9" s="8">
        <v>25275016534</v>
      </c>
      <c r="BO9" s="8">
        <v>4303157815</v>
      </c>
      <c r="BP9" s="8">
        <v>5037898986</v>
      </c>
      <c r="BQ9" s="8">
        <v>5191313009</v>
      </c>
    </row>
    <row r="10" spans="1:69" x14ac:dyDescent="0.3">
      <c r="A10" s="7" t="s">
        <v>13</v>
      </c>
      <c r="B10" s="8">
        <v>363697172</v>
      </c>
      <c r="C10" s="8">
        <v>467570235</v>
      </c>
      <c r="D10" s="8">
        <v>386529929</v>
      </c>
      <c r="E10" s="8">
        <v>1217797336</v>
      </c>
      <c r="F10" s="8">
        <v>428886000</v>
      </c>
      <c r="G10" s="8">
        <v>476386767</v>
      </c>
      <c r="H10" s="8">
        <v>402666653</v>
      </c>
      <c r="I10" s="8">
        <v>1307939420</v>
      </c>
      <c r="J10" s="8">
        <v>2525736756</v>
      </c>
      <c r="K10" s="8">
        <v>381969262</v>
      </c>
      <c r="L10" s="8">
        <v>394262117</v>
      </c>
      <c r="M10" s="8">
        <v>513401972</v>
      </c>
      <c r="N10" s="8">
        <v>1289633351</v>
      </c>
      <c r="O10" s="8">
        <v>508466874</v>
      </c>
      <c r="P10" s="8">
        <v>595348867</v>
      </c>
      <c r="Q10" s="8">
        <v>509044004</v>
      </c>
      <c r="R10" s="8">
        <v>1612859745</v>
      </c>
      <c r="S10" s="8">
        <v>5428229852</v>
      </c>
      <c r="T10" s="8">
        <v>469378398</v>
      </c>
      <c r="U10" s="8">
        <v>430579860</v>
      </c>
      <c r="V10" s="8">
        <v>507428797</v>
      </c>
      <c r="W10" s="8">
        <v>1407387055</v>
      </c>
      <c r="X10" s="8">
        <v>450851043</v>
      </c>
      <c r="Y10" s="8">
        <v>458632534</v>
      </c>
      <c r="Z10" s="8">
        <v>434812308</v>
      </c>
      <c r="AA10" s="8">
        <v>1344295885</v>
      </c>
      <c r="AB10" s="8">
        <v>2751682940</v>
      </c>
      <c r="AC10" s="8">
        <v>552707955</v>
      </c>
      <c r="AD10" s="8">
        <v>446433431</v>
      </c>
      <c r="AE10" s="8">
        <v>442961654</v>
      </c>
      <c r="AF10" s="8">
        <v>1442103040</v>
      </c>
      <c r="AG10" s="8">
        <v>476899163</v>
      </c>
      <c r="AH10" s="8">
        <v>604178398</v>
      </c>
      <c r="AI10" s="8">
        <v>821003245</v>
      </c>
      <c r="AJ10" s="8">
        <v>1902080806</v>
      </c>
      <c r="AK10" s="48">
        <v>3344183846</v>
      </c>
      <c r="AL10" s="8">
        <v>6095866786</v>
      </c>
      <c r="AM10" s="54">
        <v>660594137</v>
      </c>
      <c r="AN10" s="54">
        <v>599236807</v>
      </c>
      <c r="AO10" s="54">
        <v>596701703</v>
      </c>
      <c r="AP10" s="54">
        <v>1856532647</v>
      </c>
      <c r="AQ10" s="54">
        <v>584516225</v>
      </c>
      <c r="AR10" s="54">
        <v>516390042</v>
      </c>
      <c r="AS10" s="54">
        <v>608702679</v>
      </c>
      <c r="AT10" s="54">
        <v>1709608946</v>
      </c>
      <c r="AU10" s="54">
        <f t="shared" si="1"/>
        <v>3566141593</v>
      </c>
      <c r="AV10" s="54">
        <v>635763113</v>
      </c>
      <c r="AW10" s="54">
        <v>612286497</v>
      </c>
      <c r="AX10" s="54">
        <v>630976474</v>
      </c>
      <c r="AY10" s="54">
        <v>1879026084</v>
      </c>
      <c r="AZ10" s="54">
        <v>898818978</v>
      </c>
      <c r="BA10" s="54">
        <v>1141935996</v>
      </c>
      <c r="BB10" s="54">
        <v>1814559976</v>
      </c>
      <c r="BC10" s="8">
        <v>3855314950</v>
      </c>
      <c r="BD10" s="8">
        <v>5734341034</v>
      </c>
      <c r="BE10" s="8">
        <v>9300482627</v>
      </c>
      <c r="BF10" s="8">
        <v>845753908</v>
      </c>
      <c r="BG10" s="8">
        <v>927603690</v>
      </c>
      <c r="BH10" s="8">
        <v>965983103</v>
      </c>
      <c r="BI10" s="8">
        <v>2739340701</v>
      </c>
      <c r="BJ10" s="8">
        <v>1223183029</v>
      </c>
      <c r="BK10" s="8">
        <v>1177423171</v>
      </c>
      <c r="BL10" s="8">
        <v>1127846640</v>
      </c>
      <c r="BM10" s="8">
        <v>3528452840</v>
      </c>
      <c r="BN10" s="8">
        <v>6267793541</v>
      </c>
      <c r="BO10" s="8">
        <v>897747587</v>
      </c>
      <c r="BP10" s="8">
        <v>931467765</v>
      </c>
      <c r="BQ10" s="8">
        <v>1213469000</v>
      </c>
    </row>
    <row r="11" spans="1:69" x14ac:dyDescent="0.25">
      <c r="A11" s="3" t="s">
        <v>14</v>
      </c>
      <c r="B11" s="6">
        <v>78316718643.889496</v>
      </c>
      <c r="C11" s="6">
        <v>94016765956.523468</v>
      </c>
      <c r="D11" s="6">
        <v>92643695289.626572</v>
      </c>
      <c r="E11" s="6">
        <v>264977179890.03955</v>
      </c>
      <c r="F11" s="6">
        <v>79353611914.856003</v>
      </c>
      <c r="G11" s="6">
        <v>82173821855.290604</v>
      </c>
      <c r="H11" s="6">
        <v>93492767210.381866</v>
      </c>
      <c r="I11" s="6">
        <v>255020200980.5285</v>
      </c>
      <c r="J11" s="6">
        <v>519997380870.56805</v>
      </c>
      <c r="K11" s="6">
        <v>91806278299.824585</v>
      </c>
      <c r="L11" s="6">
        <v>80228474998.778305</v>
      </c>
      <c r="M11" s="6">
        <v>93969747996.079987</v>
      </c>
      <c r="N11" s="6">
        <v>266004501294.68289</v>
      </c>
      <c r="O11" s="6">
        <v>82791823656.182236</v>
      </c>
      <c r="P11" s="6">
        <v>87263114775.134201</v>
      </c>
      <c r="Q11" s="6">
        <v>101734001008.27759</v>
      </c>
      <c r="R11" s="6">
        <v>271788939439.59406</v>
      </c>
      <c r="S11" s="6">
        <v>1057790821604.845</v>
      </c>
      <c r="T11" s="6">
        <v>94935030612.000015</v>
      </c>
      <c r="U11" s="6">
        <v>97121334040.349991</v>
      </c>
      <c r="V11" s="6">
        <v>93820570708.099915</v>
      </c>
      <c r="W11" s="6">
        <v>285876935360.44995</v>
      </c>
      <c r="X11" s="6">
        <v>97256868470.051407</v>
      </c>
      <c r="Y11" s="6">
        <v>92695920053.668304</v>
      </c>
      <c r="Z11" s="6">
        <v>95884921721.18309</v>
      </c>
      <c r="AA11" s="6">
        <v>285837710244.90283</v>
      </c>
      <c r="AB11" s="6">
        <v>571714645605.35278</v>
      </c>
      <c r="AC11" s="6">
        <v>105711411096.8797</v>
      </c>
      <c r="AD11" s="6">
        <v>90387888772.053192</v>
      </c>
      <c r="AE11" s="6">
        <v>93423801000.809204</v>
      </c>
      <c r="AF11" s="6">
        <v>289523100869.74207</v>
      </c>
      <c r="AG11" s="6">
        <f>AG12+AG15+AG18+AG19+AG20</f>
        <v>103505104535.17821</v>
      </c>
      <c r="AH11" s="6">
        <f>AH12+AH15+AH18+AH19+AH20</f>
        <v>101429906434.4588</v>
      </c>
      <c r="AI11" s="6">
        <f>AI12+AI15+AI18+AI19+AI20</f>
        <v>133899957402.54601</v>
      </c>
      <c r="AJ11" s="6">
        <f>AJ12+AJ15+AJ18+AJ19+AJ20</f>
        <v>338834968372.18304</v>
      </c>
      <c r="AK11" s="47">
        <f>AK12+AK15+AK18+AK19+AK20</f>
        <v>628358069241.92517</v>
      </c>
      <c r="AL11" s="6">
        <f>AL12+AL15+AL18+AL19+AL20</f>
        <v>1200072714847.2778</v>
      </c>
      <c r="AM11" s="51">
        <v>119563244606.86111</v>
      </c>
      <c r="AN11" s="51">
        <v>110173237168.0498</v>
      </c>
      <c r="AO11" s="51">
        <v>111839326927.67108</v>
      </c>
      <c r="AP11" s="51">
        <v>341575808702.58203</v>
      </c>
      <c r="AQ11" s="51">
        <v>124339645934.49042</v>
      </c>
      <c r="AR11" s="51">
        <v>105869334055.26823</v>
      </c>
      <c r="AS11" s="51">
        <v>115671026305.51932</v>
      </c>
      <c r="AT11" s="51">
        <v>345880006295.27795</v>
      </c>
      <c r="AU11" s="51">
        <f t="shared" si="1"/>
        <v>687455814997.85999</v>
      </c>
      <c r="AV11" s="51">
        <v>133700522935.491</v>
      </c>
      <c r="AW11" s="51">
        <v>109521781430.55</v>
      </c>
      <c r="AX11" s="51">
        <v>111284686898.42004</v>
      </c>
      <c r="AY11" s="51">
        <v>354506991264.46106</v>
      </c>
      <c r="AZ11" s="51">
        <v>121517794401.39694</v>
      </c>
      <c r="BA11" s="6">
        <v>114530157317.07005</v>
      </c>
      <c r="BB11" s="6">
        <v>139742723600.97501</v>
      </c>
      <c r="BC11" s="6">
        <v>375790675319.44202</v>
      </c>
      <c r="BD11" s="6">
        <v>730297666583.90308</v>
      </c>
      <c r="BE11" s="6">
        <v>1417753481581.7629</v>
      </c>
      <c r="BF11" s="6">
        <v>144135202016.24203</v>
      </c>
      <c r="BG11" s="6">
        <v>153973637810.034</v>
      </c>
      <c r="BH11" s="6">
        <v>150082011185.59604</v>
      </c>
      <c r="BI11" s="6">
        <v>448190851011.87207</v>
      </c>
      <c r="BJ11" s="6">
        <v>167425973726.81598</v>
      </c>
      <c r="BK11" s="6">
        <v>148085615647.08698</v>
      </c>
      <c r="BL11" s="6">
        <v>164169375625.28003</v>
      </c>
      <c r="BM11" s="6">
        <v>479680964999.18298</v>
      </c>
      <c r="BN11" s="6">
        <v>927871816011.05505</v>
      </c>
      <c r="BO11" s="6">
        <v>172221846240.34198</v>
      </c>
      <c r="BP11" s="6">
        <v>150265070377.10995</v>
      </c>
      <c r="BQ11" s="6">
        <v>167510009377.27808</v>
      </c>
    </row>
    <row r="12" spans="1:69" x14ac:dyDescent="0.25">
      <c r="A12" s="9" t="s">
        <v>15</v>
      </c>
      <c r="B12" s="8">
        <v>52688941186.655014</v>
      </c>
      <c r="C12" s="8">
        <v>63369590198.667953</v>
      </c>
      <c r="D12" s="8">
        <v>59917677790.732086</v>
      </c>
      <c r="E12" s="8">
        <v>175976209176.05505</v>
      </c>
      <c r="F12" s="8">
        <v>51776998360.559998</v>
      </c>
      <c r="G12" s="8">
        <v>54562086252.080002</v>
      </c>
      <c r="H12" s="8">
        <v>62420159814.554909</v>
      </c>
      <c r="I12" s="8">
        <v>168759244427.19492</v>
      </c>
      <c r="J12" s="8">
        <v>344735453603.25</v>
      </c>
      <c r="K12" s="8">
        <v>61311017117.015999</v>
      </c>
      <c r="L12" s="8">
        <v>50483003199.9655</v>
      </c>
      <c r="M12" s="8">
        <v>62560422857.400002</v>
      </c>
      <c r="N12" s="8">
        <v>174354443174.3815</v>
      </c>
      <c r="O12" s="8">
        <v>53962884196.441673</v>
      </c>
      <c r="P12" s="8">
        <v>57453188196.25</v>
      </c>
      <c r="Q12" s="8">
        <v>68271418800.681793</v>
      </c>
      <c r="R12" s="8">
        <v>179687491193.37347</v>
      </c>
      <c r="S12" s="8">
        <v>698777387971.005</v>
      </c>
      <c r="T12" s="8">
        <v>62212677141.200012</v>
      </c>
      <c r="U12" s="8">
        <v>60378791972.649994</v>
      </c>
      <c r="V12" s="8">
        <v>58799007178.7799</v>
      </c>
      <c r="W12" s="8">
        <v>181390476292.62991</v>
      </c>
      <c r="X12" s="8">
        <v>64443055477.25</v>
      </c>
      <c r="Y12" s="8">
        <v>60363441553.459503</v>
      </c>
      <c r="Z12" s="8">
        <v>62918524370.703102</v>
      </c>
      <c r="AA12" s="8">
        <v>187725021401.4126</v>
      </c>
      <c r="AB12" s="8">
        <v>369115497694.04248</v>
      </c>
      <c r="AC12" s="8">
        <v>71282005230.572495</v>
      </c>
      <c r="AD12" s="8">
        <v>57162230616.029999</v>
      </c>
      <c r="AE12" s="8">
        <v>59026555181.419998</v>
      </c>
      <c r="AF12" s="8">
        <v>187470791028.02249</v>
      </c>
      <c r="AG12" s="8">
        <v>69665575004.350006</v>
      </c>
      <c r="AH12" s="8">
        <v>66697024553.942001</v>
      </c>
      <c r="AI12" s="8">
        <v>92614781461.678009</v>
      </c>
      <c r="AJ12" s="8">
        <v>228977381019.97003</v>
      </c>
      <c r="AK12" s="48">
        <v>416448172047.99255</v>
      </c>
      <c r="AL12" s="8">
        <v>785563669742.03491</v>
      </c>
      <c r="AM12" s="52">
        <v>86657666525.991989</v>
      </c>
      <c r="AN12" s="52">
        <v>69682574843.49501</v>
      </c>
      <c r="AO12" s="52">
        <v>72519966017.294998</v>
      </c>
      <c r="AP12" s="52">
        <v>228860207386.78198</v>
      </c>
      <c r="AQ12" s="52">
        <v>86492412874.874023</v>
      </c>
      <c r="AR12" s="52">
        <v>67304098349.359039</v>
      </c>
      <c r="AS12" s="52">
        <v>73282762155.284912</v>
      </c>
      <c r="AT12" s="52">
        <v>227079273379.51797</v>
      </c>
      <c r="AU12" s="52">
        <f t="shared" si="1"/>
        <v>455939480766.29993</v>
      </c>
      <c r="AV12" s="52">
        <v>93444973286.621002</v>
      </c>
      <c r="AW12" s="52">
        <v>71001175789.212006</v>
      </c>
      <c r="AX12" s="52">
        <v>70288355671.948044</v>
      </c>
      <c r="AY12" s="52">
        <v>234734504747.78107</v>
      </c>
      <c r="AZ12" s="52">
        <v>82135229804.666946</v>
      </c>
      <c r="BA12" s="8">
        <v>74223349699.570053</v>
      </c>
      <c r="BB12" s="8">
        <v>93018219759.601929</v>
      </c>
      <c r="BC12" s="8">
        <v>249376799263.83893</v>
      </c>
      <c r="BD12" s="8">
        <v>484111304011.62</v>
      </c>
      <c r="BE12" s="8">
        <v>940050784777.91992</v>
      </c>
      <c r="BF12" s="8">
        <v>108797573553.72203</v>
      </c>
      <c r="BG12" s="8">
        <v>101290390679.71399</v>
      </c>
      <c r="BH12" s="8">
        <v>97703548546.246048</v>
      </c>
      <c r="BI12" s="8">
        <v>307791512779.68207</v>
      </c>
      <c r="BJ12" s="8">
        <v>114576875660.62596</v>
      </c>
      <c r="BK12" s="8">
        <v>97811647259.906982</v>
      </c>
      <c r="BL12" s="8">
        <v>106851659417.15002</v>
      </c>
      <c r="BM12" s="8">
        <v>319240182337.68298</v>
      </c>
      <c r="BN12" s="8">
        <v>627031695117.36499</v>
      </c>
      <c r="BO12" s="8">
        <v>117299468675.86197</v>
      </c>
      <c r="BP12" s="8">
        <v>96598112043.749954</v>
      </c>
      <c r="BQ12" s="8">
        <v>114850972266.27808</v>
      </c>
    </row>
    <row r="13" spans="1:69" x14ac:dyDescent="0.25">
      <c r="A13" s="9" t="s">
        <v>16</v>
      </c>
      <c r="B13" s="8">
        <v>18621550163.040001</v>
      </c>
      <c r="C13" s="8">
        <v>20138561733.84</v>
      </c>
      <c r="D13" s="8">
        <v>19065575122.880001</v>
      </c>
      <c r="E13" s="8">
        <v>57825687019.76001</v>
      </c>
      <c r="F13" s="8">
        <v>17143206107.280001</v>
      </c>
      <c r="G13" s="8">
        <v>19147330649.919998</v>
      </c>
      <c r="H13" s="8">
        <v>19748852192.959999</v>
      </c>
      <c r="I13" s="8">
        <v>56039388950.159996</v>
      </c>
      <c r="J13" s="8">
        <v>113865075969.92001</v>
      </c>
      <c r="K13" s="8">
        <v>17031914361.32</v>
      </c>
      <c r="L13" s="8">
        <v>16660494642.299999</v>
      </c>
      <c r="M13" s="8">
        <v>18120452812.400002</v>
      </c>
      <c r="N13" s="8">
        <v>51812861816.020004</v>
      </c>
      <c r="O13" s="8">
        <v>14710239755.379999</v>
      </c>
      <c r="P13" s="8">
        <v>19537883590.799999</v>
      </c>
      <c r="Q13" s="8">
        <v>17879810866.299999</v>
      </c>
      <c r="R13" s="8">
        <v>52127934212.479996</v>
      </c>
      <c r="S13" s="8">
        <v>217805871998.42001</v>
      </c>
      <c r="T13" s="8">
        <v>19154682453.049999</v>
      </c>
      <c r="U13" s="8">
        <v>18983688424.799999</v>
      </c>
      <c r="V13" s="8">
        <v>17355382125.529999</v>
      </c>
      <c r="W13" s="8">
        <v>55493753003.379997</v>
      </c>
      <c r="X13" s="8">
        <v>17272065367.549999</v>
      </c>
      <c r="Y13" s="8">
        <v>17127093268.23</v>
      </c>
      <c r="Z13" s="8">
        <v>18047490047.810001</v>
      </c>
      <c r="AA13" s="8">
        <v>52446648683.589996</v>
      </c>
      <c r="AB13" s="8">
        <v>107940401686.97</v>
      </c>
      <c r="AC13" s="8">
        <v>18442679153.110001</v>
      </c>
      <c r="AD13" s="8">
        <v>17468290481.880001</v>
      </c>
      <c r="AE13" s="8">
        <v>18213518315.77</v>
      </c>
      <c r="AF13" s="8">
        <v>54124487950.76001</v>
      </c>
      <c r="AG13" s="8">
        <v>19522695386.25</v>
      </c>
      <c r="AH13" s="8">
        <v>19124129756.490002</v>
      </c>
      <c r="AI13" s="8">
        <v>34538426031.010002</v>
      </c>
      <c r="AJ13" s="8">
        <v>73185251173.75</v>
      </c>
      <c r="AK13" s="48">
        <v>127309739124.51001</v>
      </c>
      <c r="AL13" s="8">
        <v>235250140811.48001</v>
      </c>
      <c r="AM13" s="52">
        <v>22624788698.649998</v>
      </c>
      <c r="AN13" s="52">
        <v>23484214099.27</v>
      </c>
      <c r="AO13" s="52">
        <v>20741169957.329998</v>
      </c>
      <c r="AP13" s="52">
        <v>66850172755.25</v>
      </c>
      <c r="AQ13" s="52">
        <v>22079999065.700001</v>
      </c>
      <c r="AR13" s="52">
        <v>19476768041.91</v>
      </c>
      <c r="AS13" s="52">
        <v>21766935097.940006</v>
      </c>
      <c r="AT13" s="52">
        <v>63323702205.550003</v>
      </c>
      <c r="AU13" s="52">
        <f t="shared" si="1"/>
        <v>130173874960.8</v>
      </c>
      <c r="AV13" s="52">
        <v>22954620245.41</v>
      </c>
      <c r="AW13" s="52">
        <v>20253888034.84</v>
      </c>
      <c r="AX13" s="52">
        <v>21592006726.549992</v>
      </c>
      <c r="AY13" s="52">
        <v>64800515006.799988</v>
      </c>
      <c r="AZ13" s="52">
        <v>21107512229.64999</v>
      </c>
      <c r="BA13" s="8">
        <v>21946471634.050026</v>
      </c>
      <c r="BB13" s="8">
        <v>28246906772.95002</v>
      </c>
      <c r="BC13" s="8">
        <v>71300890636.650024</v>
      </c>
      <c r="BD13" s="8">
        <v>136101405643.45001</v>
      </c>
      <c r="BE13" s="8">
        <v>266275280604.25</v>
      </c>
      <c r="BF13" s="8">
        <v>37060978968.800003</v>
      </c>
      <c r="BG13" s="8">
        <v>38922972643.699997</v>
      </c>
      <c r="BH13" s="8">
        <v>38530387173.550003</v>
      </c>
      <c r="BI13" s="8">
        <v>114514338786.05</v>
      </c>
      <c r="BJ13" s="8">
        <v>40770398657.349991</v>
      </c>
      <c r="BK13" s="8">
        <v>36237589639.149994</v>
      </c>
      <c r="BL13" s="8">
        <v>43201528075.799995</v>
      </c>
      <c r="BM13" s="8">
        <v>120209516372.29999</v>
      </c>
      <c r="BN13" s="8">
        <v>234723855158.34998</v>
      </c>
      <c r="BO13" s="8">
        <v>39351142218.050018</v>
      </c>
      <c r="BP13" s="8">
        <v>35483781687.749985</v>
      </c>
      <c r="BQ13" s="8">
        <v>40294996251.550049</v>
      </c>
    </row>
    <row r="14" spans="1:69" x14ac:dyDescent="0.25">
      <c r="A14" s="9" t="s">
        <v>17</v>
      </c>
      <c r="B14" s="8">
        <v>34067391023.615009</v>
      </c>
      <c r="C14" s="8">
        <v>43231028464.82795</v>
      </c>
      <c r="D14" s="8">
        <v>40852102667.852081</v>
      </c>
      <c r="E14" s="8">
        <v>118150522156.29504</v>
      </c>
      <c r="F14" s="8">
        <v>34633792253.279999</v>
      </c>
      <c r="G14" s="8">
        <v>35414755602.160004</v>
      </c>
      <c r="H14" s="8">
        <v>42671307621.59491</v>
      </c>
      <c r="I14" s="8">
        <v>112719855477.03491</v>
      </c>
      <c r="J14" s="8">
        <v>230870377633.32996</v>
      </c>
      <c r="K14" s="8">
        <v>44279102755.695999</v>
      </c>
      <c r="L14" s="8">
        <v>33822508557.665497</v>
      </c>
      <c r="M14" s="8">
        <v>44439970045</v>
      </c>
      <c r="N14" s="8">
        <v>122541581358.3615</v>
      </c>
      <c r="O14" s="8">
        <v>39252644441.061676</v>
      </c>
      <c r="P14" s="8">
        <v>37915304605.449997</v>
      </c>
      <c r="Q14" s="8">
        <v>50391607934.381798</v>
      </c>
      <c r="R14" s="8">
        <v>127559556980.89346</v>
      </c>
      <c r="S14" s="8">
        <v>480971515972.5849</v>
      </c>
      <c r="T14" s="8">
        <v>43057994688.150009</v>
      </c>
      <c r="U14" s="8">
        <v>41395103547.849998</v>
      </c>
      <c r="V14" s="8">
        <v>41443625053.25</v>
      </c>
      <c r="W14" s="8">
        <v>125896723289.25</v>
      </c>
      <c r="X14" s="8">
        <v>47170990109.699997</v>
      </c>
      <c r="Y14" s="8">
        <v>43236348285.2295</v>
      </c>
      <c r="Z14" s="8">
        <v>44871034322.892998</v>
      </c>
      <c r="AA14" s="8">
        <v>135278372717.82251</v>
      </c>
      <c r="AB14" s="8">
        <v>261175096007.07251</v>
      </c>
      <c r="AC14" s="8">
        <v>52839326077.462494</v>
      </c>
      <c r="AD14" s="8">
        <v>39693940134.150002</v>
      </c>
      <c r="AE14" s="8">
        <v>40813036865.650002</v>
      </c>
      <c r="AF14" s="8">
        <v>133346303077.26248</v>
      </c>
      <c r="AG14" s="8">
        <v>50142879618.099998</v>
      </c>
      <c r="AH14" s="8">
        <v>47572894797.452003</v>
      </c>
      <c r="AI14" s="8">
        <v>58076355430.667999</v>
      </c>
      <c r="AJ14" s="8">
        <v>155792129846.22</v>
      </c>
      <c r="AK14" s="48">
        <v>289138432923.48248</v>
      </c>
      <c r="AL14" s="8">
        <v>550313528930.55493</v>
      </c>
      <c r="AM14" s="52">
        <v>64032877827.341995</v>
      </c>
      <c r="AN14" s="52">
        <v>46198360744.225006</v>
      </c>
      <c r="AO14" s="52">
        <v>51778796059.965004</v>
      </c>
      <c r="AP14" s="52">
        <v>162010034631.53201</v>
      </c>
      <c r="AQ14" s="52">
        <v>64412413809.174026</v>
      </c>
      <c r="AR14" s="52">
        <v>47827330307.449036</v>
      </c>
      <c r="AS14" s="52">
        <v>51515827057.34491</v>
      </c>
      <c r="AT14" s="52">
        <v>163755571173.96796</v>
      </c>
      <c r="AU14" s="52">
        <f t="shared" si="1"/>
        <v>325765605805.5</v>
      </c>
      <c r="AV14" s="52">
        <v>70490353041.210999</v>
      </c>
      <c r="AW14" s="52">
        <v>50747287754.372002</v>
      </c>
      <c r="AX14" s="52">
        <v>48696348945.398056</v>
      </c>
      <c r="AY14" s="52">
        <v>169933989740.98108</v>
      </c>
      <c r="AZ14" s="52">
        <v>61027717575.016953</v>
      </c>
      <c r="BA14" s="8">
        <v>52276878065.520027</v>
      </c>
      <c r="BB14" s="8">
        <v>64771312986.651917</v>
      </c>
      <c r="BC14" s="8">
        <v>178075908627.1889</v>
      </c>
      <c r="BD14" s="8">
        <v>348009898368.16998</v>
      </c>
      <c r="BE14" s="8">
        <v>673775504173.66992</v>
      </c>
      <c r="BF14" s="59">
        <v>71736594584.922028</v>
      </c>
      <c r="BG14" s="59">
        <v>62367418036.013992</v>
      </c>
      <c r="BH14" s="59">
        <v>59173161372.696045</v>
      </c>
      <c r="BI14" s="59">
        <v>193277173993.63208</v>
      </c>
      <c r="BJ14" s="59">
        <v>73806477003.27597</v>
      </c>
      <c r="BK14" s="59">
        <v>61574057620.756989</v>
      </c>
      <c r="BL14" s="59">
        <v>63650131341.350021</v>
      </c>
      <c r="BM14" s="59">
        <v>199030665965.383</v>
      </c>
      <c r="BN14" s="59">
        <v>392307839959.01508</v>
      </c>
      <c r="BO14" s="59">
        <v>77948326457.811951</v>
      </c>
      <c r="BP14" s="59">
        <v>61114330355.999969</v>
      </c>
      <c r="BQ14" s="59">
        <v>74555976014.728027</v>
      </c>
    </row>
    <row r="15" spans="1:69" x14ac:dyDescent="0.25">
      <c r="A15" s="9" t="s">
        <v>18</v>
      </c>
      <c r="B15" s="10">
        <v>21967718213</v>
      </c>
      <c r="C15" s="10">
        <v>23579406894</v>
      </c>
      <c r="D15" s="10">
        <v>23928283915</v>
      </c>
      <c r="E15" s="10">
        <v>69475409022</v>
      </c>
      <c r="F15" s="10">
        <v>20333288276</v>
      </c>
      <c r="G15" s="10">
        <v>19964906979</v>
      </c>
      <c r="H15" s="10">
        <v>22756383804</v>
      </c>
      <c r="I15" s="8">
        <v>63054579059</v>
      </c>
      <c r="J15" s="10">
        <v>132529988081</v>
      </c>
      <c r="K15" s="10">
        <v>22285214647</v>
      </c>
      <c r="L15" s="10">
        <v>22234154620</v>
      </c>
      <c r="M15" s="10">
        <v>22526494513</v>
      </c>
      <c r="N15" s="10">
        <v>67045863780</v>
      </c>
      <c r="O15" s="10">
        <v>21319655643</v>
      </c>
      <c r="P15" s="10">
        <v>21336542836</v>
      </c>
      <c r="Q15" s="10">
        <v>24497509826</v>
      </c>
      <c r="R15" s="10">
        <v>67153708305</v>
      </c>
      <c r="S15" s="10">
        <v>266729560166</v>
      </c>
      <c r="T15" s="10">
        <v>24145494839</v>
      </c>
      <c r="U15" s="10">
        <v>27314561917</v>
      </c>
      <c r="V15" s="10">
        <v>26195676657</v>
      </c>
      <c r="W15" s="10">
        <v>77655733413</v>
      </c>
      <c r="X15" s="10">
        <v>23544980619</v>
      </c>
      <c r="Y15" s="10">
        <v>23468606733</v>
      </c>
      <c r="Z15" s="8">
        <v>24408284257</v>
      </c>
      <c r="AA15" s="8">
        <v>71421871609</v>
      </c>
      <c r="AB15" s="8">
        <v>149077605022</v>
      </c>
      <c r="AC15" s="8">
        <v>25346983489</v>
      </c>
      <c r="AD15" s="8">
        <v>24617113389</v>
      </c>
      <c r="AE15" s="8">
        <v>25131251399</v>
      </c>
      <c r="AF15" s="8">
        <v>75095348277</v>
      </c>
      <c r="AG15" s="10">
        <v>25387946135</v>
      </c>
      <c r="AH15" s="10">
        <v>25480130434</v>
      </c>
      <c r="AI15" s="10">
        <v>31877537154</v>
      </c>
      <c r="AJ15" s="10">
        <v>82745613723</v>
      </c>
      <c r="AK15" s="49">
        <v>157840962000</v>
      </c>
      <c r="AL15" s="10">
        <v>306918567022</v>
      </c>
      <c r="AM15" s="52">
        <v>22579861472</v>
      </c>
      <c r="AN15" s="52">
        <v>29801685037</v>
      </c>
      <c r="AO15" s="52">
        <v>29180505614</v>
      </c>
      <c r="AP15" s="52">
        <v>81562052123</v>
      </c>
      <c r="AQ15" s="52">
        <v>27482009653</v>
      </c>
      <c r="AR15" s="52">
        <v>27055068383</v>
      </c>
      <c r="AS15" s="52">
        <v>27960545639</v>
      </c>
      <c r="AT15" s="52">
        <v>82497623675</v>
      </c>
      <c r="AU15" s="52">
        <f t="shared" si="1"/>
        <v>164059675798</v>
      </c>
      <c r="AV15" s="52">
        <v>30237060827</v>
      </c>
      <c r="AW15" s="52">
        <v>29213316409</v>
      </c>
      <c r="AX15" s="52">
        <v>29145755568</v>
      </c>
      <c r="AY15" s="52">
        <v>88596132804</v>
      </c>
      <c r="AZ15" s="52">
        <v>29513942820</v>
      </c>
      <c r="BA15" s="10">
        <v>29509963874</v>
      </c>
      <c r="BB15" s="10">
        <v>33215462704</v>
      </c>
      <c r="BC15" s="10">
        <v>92239369398</v>
      </c>
      <c r="BD15" s="10">
        <v>180835502202</v>
      </c>
      <c r="BE15" s="10">
        <v>344895178000</v>
      </c>
      <c r="BF15" s="10">
        <v>20325216384</v>
      </c>
      <c r="BG15" s="10">
        <v>36644139367</v>
      </c>
      <c r="BH15" s="10">
        <v>35736394159</v>
      </c>
      <c r="BI15" s="10">
        <v>92705749910</v>
      </c>
      <c r="BJ15" s="10">
        <v>35956398461</v>
      </c>
      <c r="BK15" s="10">
        <v>33323827969</v>
      </c>
      <c r="BL15" s="10">
        <v>35309911088</v>
      </c>
      <c r="BM15" s="10">
        <v>104590137518</v>
      </c>
      <c r="BN15" s="10">
        <v>197295887428</v>
      </c>
      <c r="BO15" s="10">
        <v>36603190960</v>
      </c>
      <c r="BP15" s="10">
        <v>36115191613</v>
      </c>
      <c r="BQ15" s="10">
        <v>35387877113</v>
      </c>
    </row>
    <row r="16" spans="1:69" x14ac:dyDescent="0.25">
      <c r="A16" s="9" t="s">
        <v>19</v>
      </c>
      <c r="B16" s="8">
        <v>9360225134</v>
      </c>
      <c r="C16" s="8">
        <v>10493825564</v>
      </c>
      <c r="D16" s="8">
        <v>11006511915</v>
      </c>
      <c r="E16" s="8">
        <v>30860562613</v>
      </c>
      <c r="F16" s="8">
        <v>8834084820</v>
      </c>
      <c r="G16" s="8">
        <v>8964719128</v>
      </c>
      <c r="H16" s="8">
        <v>11421295554</v>
      </c>
      <c r="I16" s="8">
        <v>29220099502</v>
      </c>
      <c r="J16" s="8">
        <v>60080662115</v>
      </c>
      <c r="K16" s="8">
        <v>8578045172</v>
      </c>
      <c r="L16" s="8">
        <v>9752219389</v>
      </c>
      <c r="M16" s="8">
        <v>10631424823</v>
      </c>
      <c r="N16" s="8">
        <v>28961689384</v>
      </c>
      <c r="O16" s="8">
        <v>8557476277</v>
      </c>
      <c r="P16" s="8">
        <v>10609976836</v>
      </c>
      <c r="Q16" s="8">
        <v>10769348809</v>
      </c>
      <c r="R16" s="8">
        <v>29936801922</v>
      </c>
      <c r="S16" s="8">
        <v>118979153421</v>
      </c>
      <c r="T16" s="8">
        <v>9795269053</v>
      </c>
      <c r="U16" s="8">
        <v>11614838561</v>
      </c>
      <c r="V16" s="8">
        <v>10968872356</v>
      </c>
      <c r="W16" s="8">
        <v>32378979970</v>
      </c>
      <c r="X16" s="8">
        <v>10881821872</v>
      </c>
      <c r="Y16" s="8">
        <v>11545323208</v>
      </c>
      <c r="Z16" s="8">
        <v>11603771216</v>
      </c>
      <c r="AA16" s="8">
        <v>34030916296</v>
      </c>
      <c r="AB16" s="8">
        <v>66409896266</v>
      </c>
      <c r="AC16" s="8">
        <v>10049445124</v>
      </c>
      <c r="AD16" s="8">
        <v>10336158105</v>
      </c>
      <c r="AE16" s="8">
        <v>11204216537</v>
      </c>
      <c r="AF16" s="8">
        <v>31589819766</v>
      </c>
      <c r="AG16" s="8">
        <v>10527118705</v>
      </c>
      <c r="AH16" s="8">
        <v>11286884742</v>
      </c>
      <c r="AI16" s="8">
        <v>13143483089</v>
      </c>
      <c r="AJ16" s="8">
        <v>34957486536</v>
      </c>
      <c r="AK16" s="48">
        <v>66547306302</v>
      </c>
      <c r="AL16" s="8">
        <v>132957202568</v>
      </c>
      <c r="AM16" s="52">
        <v>12040134337</v>
      </c>
      <c r="AN16" s="52">
        <v>12642548679</v>
      </c>
      <c r="AO16" s="52">
        <v>11791255685</v>
      </c>
      <c r="AP16" s="52">
        <v>36473938701</v>
      </c>
      <c r="AQ16" s="52">
        <v>11903677848</v>
      </c>
      <c r="AR16" s="52">
        <v>11714910576</v>
      </c>
      <c r="AS16" s="52">
        <v>12779297551</v>
      </c>
      <c r="AT16" s="52">
        <v>36397885975</v>
      </c>
      <c r="AU16" s="52">
        <f t="shared" si="1"/>
        <v>72871824676</v>
      </c>
      <c r="AV16" s="52">
        <v>12528992446</v>
      </c>
      <c r="AW16" s="52">
        <v>12469020614</v>
      </c>
      <c r="AX16" s="52">
        <v>13131490432</v>
      </c>
      <c r="AY16" s="52">
        <v>38129503492</v>
      </c>
      <c r="AZ16" s="52">
        <v>11594648113</v>
      </c>
      <c r="BA16" s="8">
        <v>12086692661</v>
      </c>
      <c r="BB16" s="8">
        <v>12945630812</v>
      </c>
      <c r="BC16" s="8">
        <v>36626971586</v>
      </c>
      <c r="BD16" s="8">
        <v>74756475078</v>
      </c>
      <c r="BE16" s="8">
        <v>147628299754</v>
      </c>
      <c r="BF16" s="8">
        <v>13510272521</v>
      </c>
      <c r="BG16" s="8">
        <v>14566827882</v>
      </c>
      <c r="BH16" s="8">
        <v>14740292478</v>
      </c>
      <c r="BI16" s="8">
        <v>42817392881</v>
      </c>
      <c r="BJ16" s="8">
        <v>15567985216</v>
      </c>
      <c r="BK16" s="8">
        <v>14308379862</v>
      </c>
      <c r="BL16" s="8">
        <v>16932313753</v>
      </c>
      <c r="BM16" s="8">
        <v>46808678831</v>
      </c>
      <c r="BN16" s="8">
        <v>89626071712</v>
      </c>
      <c r="BO16" s="8">
        <v>15358678512</v>
      </c>
      <c r="BP16" s="8">
        <v>14135253794</v>
      </c>
      <c r="BQ16" s="8">
        <v>14722533468</v>
      </c>
    </row>
    <row r="17" spans="1:69" x14ac:dyDescent="0.25">
      <c r="A17" s="9" t="s">
        <v>20</v>
      </c>
      <c r="B17" s="8">
        <v>12607493079</v>
      </c>
      <c r="C17" s="8">
        <v>13085581330</v>
      </c>
      <c r="D17" s="8">
        <v>12921772000</v>
      </c>
      <c r="E17" s="8">
        <v>38614846409</v>
      </c>
      <c r="F17" s="8">
        <v>11499203456</v>
      </c>
      <c r="G17" s="8">
        <v>11000187851</v>
      </c>
      <c r="H17" s="8">
        <v>11335088250</v>
      </c>
      <c r="I17" s="8">
        <v>33834479557</v>
      </c>
      <c r="J17" s="8">
        <v>72449325966</v>
      </c>
      <c r="K17" s="8">
        <v>13707169475</v>
      </c>
      <c r="L17" s="8">
        <v>12481935231</v>
      </c>
      <c r="M17" s="8">
        <v>11895069690</v>
      </c>
      <c r="N17" s="8">
        <v>38084174396</v>
      </c>
      <c r="O17" s="8">
        <v>12762179366</v>
      </c>
      <c r="P17" s="8">
        <v>10726566000</v>
      </c>
      <c r="Q17" s="8">
        <v>13728161017</v>
      </c>
      <c r="R17" s="8">
        <v>37216906383</v>
      </c>
      <c r="S17" s="8">
        <v>147750406745</v>
      </c>
      <c r="T17" s="8">
        <v>14350225786</v>
      </c>
      <c r="U17" s="8">
        <v>15699723356</v>
      </c>
      <c r="V17" s="8">
        <v>15226804301</v>
      </c>
      <c r="W17" s="8">
        <v>45276753443</v>
      </c>
      <c r="X17" s="8">
        <v>12663158747</v>
      </c>
      <c r="Y17" s="8">
        <v>11923283525</v>
      </c>
      <c r="Z17" s="8">
        <v>12804513041</v>
      </c>
      <c r="AA17" s="8">
        <v>37390955313</v>
      </c>
      <c r="AB17" s="8">
        <v>82667708756</v>
      </c>
      <c r="AC17" s="8">
        <v>15297538365</v>
      </c>
      <c r="AD17" s="8">
        <v>14280955284</v>
      </c>
      <c r="AE17" s="8">
        <v>13927034862</v>
      </c>
      <c r="AF17" s="8">
        <v>43505528511</v>
      </c>
      <c r="AG17" s="8">
        <v>14860827430</v>
      </c>
      <c r="AH17" s="8">
        <v>14193245692</v>
      </c>
      <c r="AI17" s="8">
        <v>18734054065</v>
      </c>
      <c r="AJ17" s="8">
        <v>47788127187</v>
      </c>
      <c r="AK17" s="48">
        <v>91293655698</v>
      </c>
      <c r="AL17" s="8">
        <v>173961364454</v>
      </c>
      <c r="AM17" s="52">
        <v>10539727135</v>
      </c>
      <c r="AN17" s="52">
        <v>17159136358</v>
      </c>
      <c r="AO17" s="52">
        <v>17389249929</v>
      </c>
      <c r="AP17" s="52">
        <v>45088113422</v>
      </c>
      <c r="AQ17" s="52">
        <v>15578331805</v>
      </c>
      <c r="AR17" s="52">
        <v>15340157807</v>
      </c>
      <c r="AS17" s="52">
        <v>15181248088</v>
      </c>
      <c r="AT17" s="52">
        <v>46099737700</v>
      </c>
      <c r="AU17" s="52">
        <f t="shared" si="1"/>
        <v>91187851122</v>
      </c>
      <c r="AV17" s="52">
        <v>17708068381</v>
      </c>
      <c r="AW17" s="52">
        <v>16744295795</v>
      </c>
      <c r="AX17" s="52">
        <v>16014265136</v>
      </c>
      <c r="AY17" s="52">
        <v>50466629312</v>
      </c>
      <c r="AZ17" s="52">
        <v>17919294707</v>
      </c>
      <c r="BA17" s="8">
        <v>17423271213</v>
      </c>
      <c r="BB17" s="8">
        <v>20269831892</v>
      </c>
      <c r="BC17" s="8">
        <v>55612397812</v>
      </c>
      <c r="BD17" s="8">
        <v>106079027124</v>
      </c>
      <c r="BE17" s="8">
        <v>197266878246</v>
      </c>
      <c r="BF17" s="8">
        <v>6814943863</v>
      </c>
      <c r="BG17" s="8">
        <v>22077311485</v>
      </c>
      <c r="BH17" s="8">
        <v>20996101681</v>
      </c>
      <c r="BI17" s="8">
        <v>49888357029</v>
      </c>
      <c r="BJ17" s="8">
        <v>20388413245</v>
      </c>
      <c r="BK17" s="8">
        <v>19015448107</v>
      </c>
      <c r="BL17" s="8">
        <v>18377597335</v>
      </c>
      <c r="BM17" s="8">
        <v>57781458687</v>
      </c>
      <c r="BN17" s="8">
        <v>107669815716</v>
      </c>
      <c r="BO17" s="8">
        <v>21244512448</v>
      </c>
      <c r="BP17" s="8">
        <v>21979937819</v>
      </c>
      <c r="BQ17" s="8">
        <v>20665343645</v>
      </c>
    </row>
    <row r="18" spans="1:69" x14ac:dyDescent="0.25">
      <c r="A18" s="9" t="s">
        <v>21</v>
      </c>
      <c r="B18" s="8">
        <v>789574126</v>
      </c>
      <c r="C18" s="8">
        <v>720146973</v>
      </c>
      <c r="D18" s="8">
        <v>794398545</v>
      </c>
      <c r="E18" s="8">
        <v>2304119644</v>
      </c>
      <c r="F18" s="8">
        <v>499854338</v>
      </c>
      <c r="G18" s="8">
        <v>657040491</v>
      </c>
      <c r="H18" s="8">
        <v>853725293</v>
      </c>
      <c r="I18" s="8">
        <v>2010620122</v>
      </c>
      <c r="J18" s="8">
        <v>4314739766</v>
      </c>
      <c r="K18" s="8">
        <v>921089880</v>
      </c>
      <c r="L18" s="8">
        <v>588178337</v>
      </c>
      <c r="M18" s="8">
        <v>742589821</v>
      </c>
      <c r="N18" s="8">
        <v>2251858038</v>
      </c>
      <c r="O18" s="8">
        <v>870616359</v>
      </c>
      <c r="P18" s="8">
        <v>675135874</v>
      </c>
      <c r="Q18" s="8">
        <v>802436958</v>
      </c>
      <c r="R18" s="8">
        <v>2348189191</v>
      </c>
      <c r="S18" s="8">
        <v>8914786995</v>
      </c>
      <c r="T18" s="8">
        <v>1010988347</v>
      </c>
      <c r="U18" s="8">
        <v>784729078</v>
      </c>
      <c r="V18" s="8">
        <v>751688664</v>
      </c>
      <c r="W18" s="8">
        <v>2547406089</v>
      </c>
      <c r="X18" s="8">
        <v>883077001</v>
      </c>
      <c r="Y18" s="8">
        <v>795434870</v>
      </c>
      <c r="Z18" s="8">
        <v>703443293</v>
      </c>
      <c r="AA18" s="8">
        <v>2381955164</v>
      </c>
      <c r="AB18" s="8">
        <v>4929361253</v>
      </c>
      <c r="AC18" s="8">
        <v>910829650</v>
      </c>
      <c r="AD18" s="8">
        <v>939195039</v>
      </c>
      <c r="AE18" s="8">
        <v>736540298</v>
      </c>
      <c r="AF18" s="8">
        <v>2586564987</v>
      </c>
      <c r="AG18" s="8">
        <v>1143552819</v>
      </c>
      <c r="AH18" s="8">
        <v>919150151</v>
      </c>
      <c r="AI18" s="8">
        <v>1021317340</v>
      </c>
      <c r="AJ18" s="8">
        <v>3084020310</v>
      </c>
      <c r="AK18" s="48">
        <v>5670585297</v>
      </c>
      <c r="AL18" s="8">
        <v>10599946550</v>
      </c>
      <c r="AM18" s="52">
        <v>1509653465</v>
      </c>
      <c r="AN18" s="52">
        <v>1186005207</v>
      </c>
      <c r="AO18" s="52">
        <v>1394385561</v>
      </c>
      <c r="AP18" s="52">
        <v>4090044233</v>
      </c>
      <c r="AQ18" s="52">
        <v>1215246299</v>
      </c>
      <c r="AR18" s="52">
        <v>3049783208</v>
      </c>
      <c r="AS18" s="52">
        <v>5754824788</v>
      </c>
      <c r="AT18" s="52">
        <v>10019854295</v>
      </c>
      <c r="AU18" s="52">
        <f t="shared" si="1"/>
        <v>14109898528</v>
      </c>
      <c r="AV18" s="52">
        <v>1455973083</v>
      </c>
      <c r="AW18" s="52">
        <v>1265757968</v>
      </c>
      <c r="AX18" s="52">
        <v>3510268001</v>
      </c>
      <c r="AY18" s="52">
        <v>6231999052</v>
      </c>
      <c r="AZ18" s="52">
        <v>1802631607</v>
      </c>
      <c r="BA18" s="8">
        <v>2302041441</v>
      </c>
      <c r="BB18" s="8">
        <v>1952522970</v>
      </c>
      <c r="BC18" s="8">
        <v>6057196018</v>
      </c>
      <c r="BD18" s="8">
        <v>12289195070</v>
      </c>
      <c r="BE18" s="8">
        <v>26399093598</v>
      </c>
      <c r="BF18" s="8">
        <v>2153598369</v>
      </c>
      <c r="BG18" s="8">
        <v>2285144992</v>
      </c>
      <c r="BH18" s="8">
        <v>2016769969</v>
      </c>
      <c r="BI18" s="8">
        <v>6455513330</v>
      </c>
      <c r="BJ18" s="8">
        <v>2602559987</v>
      </c>
      <c r="BK18" s="8">
        <v>2636952934</v>
      </c>
      <c r="BL18" s="8">
        <v>2352180170</v>
      </c>
      <c r="BM18" s="8">
        <v>7591693091</v>
      </c>
      <c r="BN18" s="8">
        <v>14047206421</v>
      </c>
      <c r="BO18" s="8">
        <v>2696221784</v>
      </c>
      <c r="BP18" s="8">
        <v>3115564900</v>
      </c>
      <c r="BQ18" s="8">
        <v>3810688300</v>
      </c>
    </row>
    <row r="19" spans="1:69" x14ac:dyDescent="0.25">
      <c r="A19" s="9" t="s">
        <v>22</v>
      </c>
      <c r="B19" s="8">
        <v>1659747758.234488</v>
      </c>
      <c r="C19" s="8">
        <v>5027055128.8555126</v>
      </c>
      <c r="D19" s="8">
        <v>6591653402.8944902</v>
      </c>
      <c r="E19" s="8">
        <v>13278456289.984489</v>
      </c>
      <c r="F19" s="8">
        <v>5602443700.2959995</v>
      </c>
      <c r="G19" s="8">
        <v>5834497545.2105999</v>
      </c>
      <c r="H19" s="8">
        <v>6171976268.8269663</v>
      </c>
      <c r="I19" s="8">
        <v>17608917514.333565</v>
      </c>
      <c r="J19" s="8">
        <v>30887373804.318054</v>
      </c>
      <c r="K19" s="8">
        <v>6080647553.8086004</v>
      </c>
      <c r="L19" s="8">
        <v>5764315081.8128004</v>
      </c>
      <c r="M19" s="8">
        <v>6723104100.6800003</v>
      </c>
      <c r="N19" s="8">
        <v>18568066736.301399</v>
      </c>
      <c r="O19" s="8">
        <v>5508221683.7405491</v>
      </c>
      <c r="P19" s="8">
        <v>6488667381.8842001</v>
      </c>
      <c r="Q19" s="8">
        <v>6785975373.5958023</v>
      </c>
      <c r="R19" s="8">
        <v>18782864439.220551</v>
      </c>
      <c r="S19" s="8">
        <v>68238304979.840004</v>
      </c>
      <c r="T19" s="8">
        <v>6312655218.8000002</v>
      </c>
      <c r="U19" s="8">
        <v>7221819085.6999998</v>
      </c>
      <c r="V19" s="8">
        <v>6782132700.3199997</v>
      </c>
      <c r="W19" s="8">
        <v>20316607004.82</v>
      </c>
      <c r="X19" s="8">
        <v>7042471164.8014002</v>
      </c>
      <c r="Y19" s="8">
        <v>6754673025.2088003</v>
      </c>
      <c r="Z19" s="8">
        <v>6593412994.4799995</v>
      </c>
      <c r="AA19" s="8">
        <v>20390557184.4902</v>
      </c>
      <c r="AB19" s="8">
        <v>40707164189.310196</v>
      </c>
      <c r="AC19" s="8">
        <v>6866624700.3072004</v>
      </c>
      <c r="AD19" s="8">
        <v>6458101702.0232</v>
      </c>
      <c r="AE19" s="8">
        <v>7139725308.3892002</v>
      </c>
      <c r="AF19" s="8">
        <v>20464451710.719601</v>
      </c>
      <c r="AG19" s="8">
        <v>6081657055.8282003</v>
      </c>
      <c r="AH19" s="8">
        <v>6965877554.5167999</v>
      </c>
      <c r="AI19" s="8">
        <v>7009929430.868</v>
      </c>
      <c r="AJ19" s="8">
        <v>20057464041.213001</v>
      </c>
      <c r="AK19" s="48">
        <v>40521915751.932602</v>
      </c>
      <c r="AL19" s="8">
        <v>81229079941.242798</v>
      </c>
      <c r="AM19" s="52">
        <v>7365222521.8691196</v>
      </c>
      <c r="AN19" s="52">
        <v>7961818988.5548</v>
      </c>
      <c r="AO19" s="52">
        <v>7319212167.3760815</v>
      </c>
      <c r="AP19" s="52">
        <v>22646253677.800003</v>
      </c>
      <c r="AQ19" s="52">
        <v>7689598869.6163998</v>
      </c>
      <c r="AR19" s="52">
        <v>7101731222.9092007</v>
      </c>
      <c r="AS19" s="52">
        <v>7159500942.2343998</v>
      </c>
      <c r="AT19" s="52">
        <v>21950831034.760002</v>
      </c>
      <c r="AU19" s="52">
        <f t="shared" si="1"/>
        <v>44597084712.560005</v>
      </c>
      <c r="AV19" s="52">
        <v>7074492122.8699942</v>
      </c>
      <c r="AW19" s="52">
        <v>6618224696.3380003</v>
      </c>
      <c r="AX19" s="52">
        <v>6859736918.4720011</v>
      </c>
      <c r="AY19" s="52">
        <v>20552453737.679996</v>
      </c>
      <c r="AZ19" s="52">
        <v>6607580004.7299986</v>
      </c>
      <c r="BA19" s="8">
        <v>7010894087.5000038</v>
      </c>
      <c r="BB19" s="8">
        <v>9222464118.3730717</v>
      </c>
      <c r="BC19" s="8">
        <v>22840938210.603073</v>
      </c>
      <c r="BD19" s="8">
        <v>43393391948.283066</v>
      </c>
      <c r="BE19" s="8">
        <v>87990476660.843079</v>
      </c>
      <c r="BF19" s="8">
        <v>9695506738.5200005</v>
      </c>
      <c r="BG19" s="8">
        <v>10146735186.32</v>
      </c>
      <c r="BH19" s="8">
        <v>10777192238.35</v>
      </c>
      <c r="BI19" s="8">
        <v>30619434163.190002</v>
      </c>
      <c r="BJ19" s="8">
        <v>10494561831.189999</v>
      </c>
      <c r="BK19" s="8">
        <v>9795178872.1800022</v>
      </c>
      <c r="BL19" s="8">
        <v>14632966345.130001</v>
      </c>
      <c r="BM19" s="8">
        <v>34922707048.5</v>
      </c>
      <c r="BN19" s="8">
        <v>65542141211.690002</v>
      </c>
      <c r="BO19" s="8">
        <v>11431313521.479998</v>
      </c>
      <c r="BP19" s="8">
        <v>10168005873.359999</v>
      </c>
      <c r="BQ19" s="8">
        <v>10357601408</v>
      </c>
    </row>
    <row r="20" spans="1:69" x14ac:dyDescent="0.25">
      <c r="A20" s="9" t="s">
        <v>23</v>
      </c>
      <c r="B20" s="8">
        <v>1210737360</v>
      </c>
      <c r="C20" s="8">
        <v>1320566762</v>
      </c>
      <c r="D20" s="8">
        <v>1411681636</v>
      </c>
      <c r="E20" s="8">
        <v>3942985758</v>
      </c>
      <c r="F20" s="8">
        <v>1141027240</v>
      </c>
      <c r="G20" s="8">
        <v>1155290588</v>
      </c>
      <c r="H20" s="8">
        <v>1290522030</v>
      </c>
      <c r="I20" s="8">
        <v>3586839858</v>
      </c>
      <c r="J20" s="8">
        <v>7529825616</v>
      </c>
      <c r="K20" s="8">
        <v>1208309102</v>
      </c>
      <c r="L20" s="8">
        <v>1158823760</v>
      </c>
      <c r="M20" s="8">
        <v>1417136704</v>
      </c>
      <c r="N20" s="8">
        <v>3784269566</v>
      </c>
      <c r="O20" s="8">
        <v>1130445774</v>
      </c>
      <c r="P20" s="8">
        <v>1309580487</v>
      </c>
      <c r="Q20" s="8">
        <v>1376660050</v>
      </c>
      <c r="R20" s="8">
        <v>3816686311</v>
      </c>
      <c r="S20" s="8">
        <v>15130781493</v>
      </c>
      <c r="T20" s="8">
        <v>1253215066</v>
      </c>
      <c r="U20" s="8">
        <v>1421431987</v>
      </c>
      <c r="V20" s="8">
        <v>1292065508</v>
      </c>
      <c r="W20" s="8">
        <v>3966712561</v>
      </c>
      <c r="X20" s="8">
        <v>1343284208</v>
      </c>
      <c r="Y20" s="8">
        <v>1313763872</v>
      </c>
      <c r="Z20" s="8">
        <v>1261256806</v>
      </c>
      <c r="AA20" s="8">
        <v>3918304886</v>
      </c>
      <c r="AB20" s="8">
        <v>7885017447</v>
      </c>
      <c r="AC20" s="8">
        <v>1304968027</v>
      </c>
      <c r="AD20" s="8">
        <v>1211248026</v>
      </c>
      <c r="AE20" s="8">
        <v>1389728814</v>
      </c>
      <c r="AF20" s="8">
        <v>3905944867</v>
      </c>
      <c r="AG20" s="8">
        <v>1226373521</v>
      </c>
      <c r="AH20" s="8">
        <v>1367723741</v>
      </c>
      <c r="AI20" s="8">
        <v>1376392016</v>
      </c>
      <c r="AJ20" s="8">
        <v>3970489278</v>
      </c>
      <c r="AK20" s="48">
        <v>7876434145</v>
      </c>
      <c r="AL20" s="8">
        <v>15761451592</v>
      </c>
      <c r="AM20" s="52">
        <v>1450840622</v>
      </c>
      <c r="AN20" s="52">
        <v>1541153092</v>
      </c>
      <c r="AO20" s="52">
        <v>1425257568</v>
      </c>
      <c r="AP20" s="52">
        <v>4417251282</v>
      </c>
      <c r="AQ20" s="52">
        <v>1460378238</v>
      </c>
      <c r="AR20" s="52">
        <v>1358652892</v>
      </c>
      <c r="AS20" s="52">
        <v>1513392781</v>
      </c>
      <c r="AT20" s="52">
        <v>4332423911</v>
      </c>
      <c r="AU20" s="52">
        <f t="shared" si="1"/>
        <v>8749675193</v>
      </c>
      <c r="AV20" s="52">
        <v>1488023616</v>
      </c>
      <c r="AW20" s="52">
        <v>1423306568</v>
      </c>
      <c r="AX20" s="52">
        <v>1480570739</v>
      </c>
      <c r="AY20" s="52">
        <v>4391900923</v>
      </c>
      <c r="AZ20" s="52">
        <v>1458410165</v>
      </c>
      <c r="BA20" s="8">
        <v>1483908215</v>
      </c>
      <c r="BB20" s="8">
        <v>2334054049</v>
      </c>
      <c r="BC20" s="8">
        <v>5276372429</v>
      </c>
      <c r="BD20" s="8">
        <v>9668273352</v>
      </c>
      <c r="BE20" s="8">
        <v>18417948545</v>
      </c>
      <c r="BF20" s="8">
        <v>2502546851</v>
      </c>
      <c r="BG20" s="8">
        <v>2456486681</v>
      </c>
      <c r="BH20" s="8">
        <v>2549005650</v>
      </c>
      <c r="BI20" s="8">
        <v>7508039182</v>
      </c>
      <c r="BJ20" s="8">
        <v>2506602300</v>
      </c>
      <c r="BK20" s="8">
        <v>2236093845</v>
      </c>
      <c r="BL20" s="8">
        <v>2615389300</v>
      </c>
      <c r="BM20" s="8">
        <v>7358085445</v>
      </c>
      <c r="BN20" s="8">
        <v>14866124627</v>
      </c>
      <c r="BO20" s="8">
        <v>2517166850</v>
      </c>
      <c r="BP20" s="8">
        <v>2232782700</v>
      </c>
      <c r="BQ20" s="8">
        <v>2363455650</v>
      </c>
    </row>
    <row r="21" spans="1:69" x14ac:dyDescent="0.25">
      <c r="A21" s="9" t="s">
        <v>51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8"/>
      <c r="AL21" s="8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8"/>
      <c r="BB21" s="8"/>
      <c r="BC21" s="8"/>
      <c r="BD21" s="8"/>
      <c r="BE21" s="8"/>
      <c r="BF21" s="8">
        <v>0</v>
      </c>
      <c r="BG21" s="8">
        <v>500357055</v>
      </c>
      <c r="BH21" s="8">
        <v>551799382</v>
      </c>
      <c r="BI21" s="8">
        <v>1052156437</v>
      </c>
      <c r="BJ21" s="8">
        <v>557476023</v>
      </c>
      <c r="BK21" s="8">
        <v>461314522</v>
      </c>
      <c r="BL21" s="8">
        <v>362151196</v>
      </c>
      <c r="BM21" s="8">
        <v>1380941741</v>
      </c>
      <c r="BN21" s="8">
        <v>2433098178</v>
      </c>
      <c r="BO21" s="8">
        <v>389197697</v>
      </c>
      <c r="BP21" s="8">
        <v>375618971</v>
      </c>
      <c r="BQ21" s="8">
        <v>420478883</v>
      </c>
    </row>
    <row r="22" spans="1:69" x14ac:dyDescent="0.25">
      <c r="A22" s="9" t="s">
        <v>52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48"/>
      <c r="AL22" s="8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8"/>
      <c r="BB22" s="8"/>
      <c r="BC22" s="8"/>
      <c r="BD22" s="8"/>
      <c r="BE22" s="8"/>
      <c r="BF22" s="8">
        <v>660760120</v>
      </c>
      <c r="BG22" s="8">
        <v>650383849</v>
      </c>
      <c r="BH22" s="8">
        <v>747301241</v>
      </c>
      <c r="BI22" s="8">
        <v>2058445210</v>
      </c>
      <c r="BJ22" s="8">
        <v>731499464</v>
      </c>
      <c r="BK22" s="8">
        <v>1820600245</v>
      </c>
      <c r="BL22" s="8">
        <v>2045118109</v>
      </c>
      <c r="BM22" s="8">
        <v>4597217818</v>
      </c>
      <c r="BN22" s="8">
        <v>6655663028</v>
      </c>
      <c r="BO22" s="8">
        <v>1285286752</v>
      </c>
      <c r="BP22" s="8">
        <v>1659794276</v>
      </c>
      <c r="BQ22" s="8">
        <v>318935757</v>
      </c>
    </row>
    <row r="23" spans="1:69" x14ac:dyDescent="0.25">
      <c r="A23" s="3" t="s">
        <v>24</v>
      </c>
      <c r="B23" s="6">
        <v>13662123297.940001</v>
      </c>
      <c r="C23" s="6">
        <v>15528713918.48</v>
      </c>
      <c r="D23" s="6">
        <v>14893686316.620001</v>
      </c>
      <c r="E23" s="6">
        <v>44084523533.040001</v>
      </c>
      <c r="F23" s="6">
        <v>13690334914.77</v>
      </c>
      <c r="G23" s="6">
        <v>15670954172.9</v>
      </c>
      <c r="H23" s="6">
        <v>15301554636.49</v>
      </c>
      <c r="I23" s="6">
        <v>44662843724.160004</v>
      </c>
      <c r="J23" s="6">
        <v>88747367257.200012</v>
      </c>
      <c r="K23" s="6">
        <v>15568443158.705</v>
      </c>
      <c r="L23" s="6">
        <v>15311448005.83</v>
      </c>
      <c r="M23" s="6">
        <v>16139920622.639999</v>
      </c>
      <c r="N23" s="6">
        <v>47019811787.175003</v>
      </c>
      <c r="O23" s="6">
        <v>12481436453.85</v>
      </c>
      <c r="P23" s="6">
        <v>16731058737.299999</v>
      </c>
      <c r="Q23" s="6">
        <v>18025568587.080002</v>
      </c>
      <c r="R23" s="6">
        <v>47238063778.230003</v>
      </c>
      <c r="S23" s="6">
        <v>183005242822.60501</v>
      </c>
      <c r="T23" s="6">
        <v>18314056305.18</v>
      </c>
      <c r="U23" s="6">
        <v>16291604337.5</v>
      </c>
      <c r="V23" s="6">
        <v>15797450118.736</v>
      </c>
      <c r="W23" s="6">
        <v>50403110761.416</v>
      </c>
      <c r="X23" s="6">
        <v>14733686804.955999</v>
      </c>
      <c r="Y23" s="6">
        <v>14107727236.5</v>
      </c>
      <c r="Z23" s="6">
        <v>16800102718.9</v>
      </c>
      <c r="AA23" s="6">
        <v>45823558499.556</v>
      </c>
      <c r="AB23" s="6">
        <v>96226669260.972</v>
      </c>
      <c r="AC23" s="6">
        <v>17958635422.799999</v>
      </c>
      <c r="AD23" s="6">
        <v>14900598249.360001</v>
      </c>
      <c r="AE23" s="6">
        <v>15985748724.280001</v>
      </c>
      <c r="AF23" s="6">
        <v>48844982396.440002</v>
      </c>
      <c r="AG23" s="6">
        <f>AG24+AG25+AG26+AG27</f>
        <v>15158379927.077</v>
      </c>
      <c r="AH23" s="6">
        <f>AH24+AH25+AH26+AH27</f>
        <v>15795194172.263</v>
      </c>
      <c r="AI23" s="6">
        <f>AI24+AI25+AI26+AI27</f>
        <v>25107501400.700001</v>
      </c>
      <c r="AJ23" s="6">
        <f>AJ24+AJ25+AJ26+AJ27</f>
        <v>56061075500.040001</v>
      </c>
      <c r="AK23" s="47">
        <f>AK24+AK25+AK26+AK27</f>
        <v>104906057896.48</v>
      </c>
      <c r="AL23" s="6">
        <f>AL24+AL26+AL25+AL27</f>
        <v>201132727157.452</v>
      </c>
      <c r="AM23" s="51">
        <v>17707072144.650002</v>
      </c>
      <c r="AN23" s="51">
        <v>18215657679.509998</v>
      </c>
      <c r="AO23" s="51">
        <v>16233187941.67</v>
      </c>
      <c r="AP23" s="51">
        <v>52155917765.830002</v>
      </c>
      <c r="AQ23" s="51">
        <v>18008496782.639999</v>
      </c>
      <c r="AR23" s="51">
        <v>16055536331.625</v>
      </c>
      <c r="AS23" s="51">
        <v>18418786905.224998</v>
      </c>
      <c r="AT23" s="51">
        <v>52482820019.489998</v>
      </c>
      <c r="AU23" s="51">
        <f t="shared" si="1"/>
        <v>104638737785.32001</v>
      </c>
      <c r="AV23" s="51">
        <v>17880376861.68</v>
      </c>
      <c r="AW23" s="51">
        <v>16408079616.499001</v>
      </c>
      <c r="AX23" s="51">
        <v>20115662644.511002</v>
      </c>
      <c r="AY23" s="51">
        <v>54404119122.690002</v>
      </c>
      <c r="AZ23" s="51">
        <v>17123239759.42</v>
      </c>
      <c r="BA23" s="6">
        <v>18492848910.709999</v>
      </c>
      <c r="BB23" s="6">
        <v>22627244733.639999</v>
      </c>
      <c r="BC23" s="6">
        <v>58243333403.769997</v>
      </c>
      <c r="BD23" s="6">
        <v>112647452526.45999</v>
      </c>
      <c r="BE23" s="6">
        <v>217286190311.78</v>
      </c>
      <c r="BF23" s="6">
        <v>20343011061.240002</v>
      </c>
      <c r="BG23" s="6">
        <v>20346428526.02</v>
      </c>
      <c r="BH23" s="6">
        <v>20185381351.299999</v>
      </c>
      <c r="BI23" s="6">
        <v>60874820938.559998</v>
      </c>
      <c r="BJ23" s="6">
        <v>21080525386.709999</v>
      </c>
      <c r="BK23" s="6">
        <v>19478494331.349998</v>
      </c>
      <c r="BL23" s="6">
        <v>26161245525.170002</v>
      </c>
      <c r="BM23" s="6">
        <v>66720265243.229996</v>
      </c>
      <c r="BN23" s="6">
        <v>127595086181.78999</v>
      </c>
      <c r="BO23" s="6">
        <v>26135842301.57</v>
      </c>
      <c r="BP23" s="6">
        <v>20812901192.779999</v>
      </c>
      <c r="BQ23" s="6">
        <v>22186113307.799999</v>
      </c>
    </row>
    <row r="24" spans="1:69" x14ac:dyDescent="0.25">
      <c r="A24" s="9" t="s">
        <v>25</v>
      </c>
      <c r="B24" s="8">
        <v>11020313483</v>
      </c>
      <c r="C24" s="8">
        <v>12511216157</v>
      </c>
      <c r="D24" s="8">
        <v>11895585630</v>
      </c>
      <c r="E24" s="8">
        <v>35427115270</v>
      </c>
      <c r="F24" s="8">
        <v>10653540270</v>
      </c>
      <c r="G24" s="8">
        <v>11909781979</v>
      </c>
      <c r="H24" s="8">
        <v>11941779899</v>
      </c>
      <c r="I24" s="8">
        <v>34505102148</v>
      </c>
      <c r="J24" s="8">
        <v>69932217418</v>
      </c>
      <c r="K24" s="8">
        <v>11975767053</v>
      </c>
      <c r="L24" s="8">
        <v>12103459232</v>
      </c>
      <c r="M24" s="8">
        <v>12472584041</v>
      </c>
      <c r="N24" s="8">
        <v>36551810326</v>
      </c>
      <c r="O24" s="8">
        <v>9642314633</v>
      </c>
      <c r="P24" s="8">
        <v>12894970368</v>
      </c>
      <c r="Q24" s="8">
        <v>13071546091</v>
      </c>
      <c r="R24" s="8">
        <v>35608831092</v>
      </c>
      <c r="S24" s="8">
        <v>142092858836</v>
      </c>
      <c r="T24" s="8">
        <v>13360143772</v>
      </c>
      <c r="U24" s="8">
        <v>13332310567</v>
      </c>
      <c r="V24" s="8">
        <v>12819595689</v>
      </c>
      <c r="W24" s="8">
        <v>39512050028</v>
      </c>
      <c r="X24" s="8">
        <v>11687002948</v>
      </c>
      <c r="Y24" s="8">
        <v>11128809902</v>
      </c>
      <c r="Z24" s="8">
        <v>12726185616</v>
      </c>
      <c r="AA24" s="8">
        <v>35541998466</v>
      </c>
      <c r="AB24" s="8">
        <v>75054048494</v>
      </c>
      <c r="AC24" s="8">
        <v>13531001693</v>
      </c>
      <c r="AD24" s="8">
        <v>11630482260</v>
      </c>
      <c r="AE24" s="8">
        <v>12537255727</v>
      </c>
      <c r="AF24" s="8">
        <v>37698739680</v>
      </c>
      <c r="AG24" s="8">
        <v>11530111092</v>
      </c>
      <c r="AH24" s="8">
        <v>12314284023</v>
      </c>
      <c r="AI24" s="8">
        <v>20377041681</v>
      </c>
      <c r="AJ24" s="8">
        <v>44221436796</v>
      </c>
      <c r="AK24" s="48">
        <v>81920176476</v>
      </c>
      <c r="AL24" s="8">
        <v>156974224970</v>
      </c>
      <c r="AM24" s="52">
        <v>13956825815</v>
      </c>
      <c r="AN24" s="52">
        <v>14455936633</v>
      </c>
      <c r="AO24" s="52">
        <v>12669952503</v>
      </c>
      <c r="AP24" s="52">
        <v>41082714951</v>
      </c>
      <c r="AQ24" s="52">
        <v>14522665869</v>
      </c>
      <c r="AR24" s="52">
        <v>12546425436</v>
      </c>
      <c r="AS24" s="52">
        <v>13773960481</v>
      </c>
      <c r="AT24" s="52">
        <v>40843051786</v>
      </c>
      <c r="AU24" s="52">
        <f t="shared" si="1"/>
        <v>81925766737</v>
      </c>
      <c r="AV24" s="52">
        <v>14260178006</v>
      </c>
      <c r="AW24" s="52">
        <v>13067857208</v>
      </c>
      <c r="AX24" s="52">
        <v>14459806234</v>
      </c>
      <c r="AY24" s="52">
        <v>41787841448</v>
      </c>
      <c r="AZ24" s="52">
        <v>13161586602</v>
      </c>
      <c r="BA24" s="8">
        <v>13859915982</v>
      </c>
      <c r="BB24" s="8">
        <v>15596739643</v>
      </c>
      <c r="BC24" s="8">
        <v>42618242227</v>
      </c>
      <c r="BD24" s="8">
        <v>84406083675</v>
      </c>
      <c r="BE24" s="8">
        <v>166331850412</v>
      </c>
      <c r="BF24" s="59">
        <v>16260214040</v>
      </c>
      <c r="BG24" s="59">
        <v>16390052653</v>
      </c>
      <c r="BH24" s="59">
        <v>16118182400</v>
      </c>
      <c r="BI24" s="59">
        <v>48768449093</v>
      </c>
      <c r="BJ24" s="59">
        <v>16778891913</v>
      </c>
      <c r="BK24" s="59">
        <v>15597468414</v>
      </c>
      <c r="BL24" s="59">
        <v>21433927092</v>
      </c>
      <c r="BM24" s="59">
        <v>53810287419</v>
      </c>
      <c r="BN24" s="59">
        <v>102578736512</v>
      </c>
      <c r="BO24" s="59">
        <v>19778010159</v>
      </c>
      <c r="BP24" s="59">
        <v>16518073392</v>
      </c>
      <c r="BQ24" s="59">
        <v>17166071680</v>
      </c>
    </row>
    <row r="25" spans="1:69" x14ac:dyDescent="0.25">
      <c r="A25" s="9" t="s">
        <v>26</v>
      </c>
      <c r="B25" s="8">
        <v>1879521035</v>
      </c>
      <c r="C25" s="8">
        <v>2178319098</v>
      </c>
      <c r="D25" s="8">
        <v>2122311772</v>
      </c>
      <c r="E25" s="8">
        <v>6180151905</v>
      </c>
      <c r="F25" s="8">
        <v>1841108386</v>
      </c>
      <c r="G25" s="8">
        <v>2026762107</v>
      </c>
      <c r="H25" s="8">
        <v>2145801306</v>
      </c>
      <c r="I25" s="8">
        <v>6013671799</v>
      </c>
      <c r="J25" s="8">
        <v>12193823704</v>
      </c>
      <c r="K25" s="8">
        <v>2024081911</v>
      </c>
      <c r="L25" s="8">
        <v>1914930170</v>
      </c>
      <c r="M25" s="8">
        <v>2125532580</v>
      </c>
      <c r="N25" s="8">
        <v>6064544661</v>
      </c>
      <c r="O25" s="8">
        <v>1631064629</v>
      </c>
      <c r="P25" s="8">
        <v>2295020324</v>
      </c>
      <c r="Q25" s="8">
        <v>2253875966</v>
      </c>
      <c r="R25" s="8">
        <v>6179960919</v>
      </c>
      <c r="S25" s="8">
        <v>24438329284</v>
      </c>
      <c r="T25" s="8">
        <v>2111492860</v>
      </c>
      <c r="U25" s="8">
        <v>2160009950</v>
      </c>
      <c r="V25" s="8">
        <v>2152193799</v>
      </c>
      <c r="W25" s="8">
        <v>6423696609</v>
      </c>
      <c r="X25" s="8">
        <v>2209678119</v>
      </c>
      <c r="Y25" s="8">
        <v>2188981132</v>
      </c>
      <c r="Z25" s="8">
        <v>2363302902</v>
      </c>
      <c r="AA25" s="8">
        <v>6761962153</v>
      </c>
      <c r="AB25" s="8">
        <v>13185658762</v>
      </c>
      <c r="AC25" s="8">
        <v>2495561101</v>
      </c>
      <c r="AD25" s="8">
        <v>2175144137</v>
      </c>
      <c r="AE25" s="8">
        <v>2323026656</v>
      </c>
      <c r="AF25" s="8">
        <v>6993731894</v>
      </c>
      <c r="AG25" s="8">
        <v>2669864552</v>
      </c>
      <c r="AH25" s="8">
        <v>2518634791</v>
      </c>
      <c r="AI25" s="8">
        <v>3533975303</v>
      </c>
      <c r="AJ25" s="8">
        <v>8722474646</v>
      </c>
      <c r="AK25" s="48">
        <v>15716206540</v>
      </c>
      <c r="AL25" s="8">
        <v>28901865302</v>
      </c>
      <c r="AM25" s="52">
        <v>2619135332</v>
      </c>
      <c r="AN25" s="52">
        <v>2620258189</v>
      </c>
      <c r="AO25" s="52">
        <v>2446951851</v>
      </c>
      <c r="AP25" s="52">
        <v>7686345372</v>
      </c>
      <c r="AQ25" s="52">
        <v>2499304803</v>
      </c>
      <c r="AR25" s="52">
        <v>2330330781</v>
      </c>
      <c r="AS25" s="52">
        <v>2660128253</v>
      </c>
      <c r="AT25" s="52">
        <v>7489763837</v>
      </c>
      <c r="AU25" s="52">
        <f t="shared" si="1"/>
        <v>15176109209</v>
      </c>
      <c r="AV25" s="52">
        <v>2503217083</v>
      </c>
      <c r="AW25" s="52">
        <v>2269316623</v>
      </c>
      <c r="AX25" s="52">
        <v>2508465274</v>
      </c>
      <c r="AY25" s="52">
        <v>7280998980</v>
      </c>
      <c r="AZ25" s="52">
        <v>2484377874</v>
      </c>
      <c r="BA25" s="8">
        <v>2707723741</v>
      </c>
      <c r="BB25" s="8">
        <v>3112048309</v>
      </c>
      <c r="BC25" s="8">
        <v>8304149924</v>
      </c>
      <c r="BD25" s="8">
        <v>15585148904</v>
      </c>
      <c r="BE25" s="8">
        <v>30761258113</v>
      </c>
      <c r="BF25" s="8">
        <v>2506871473</v>
      </c>
      <c r="BG25" s="8">
        <v>2506147119</v>
      </c>
      <c r="BH25" s="8">
        <v>2587835866</v>
      </c>
      <c r="BI25" s="8">
        <v>7600854458</v>
      </c>
      <c r="BJ25" s="8">
        <v>2846858469</v>
      </c>
      <c r="BK25" s="8">
        <v>2560753620</v>
      </c>
      <c r="BL25" s="8">
        <v>3122584992.3299999</v>
      </c>
      <c r="BM25" s="8">
        <v>8530197081.3299999</v>
      </c>
      <c r="BN25" s="8">
        <v>16131051539.33</v>
      </c>
      <c r="BO25" s="8">
        <v>2994309751</v>
      </c>
      <c r="BP25" s="8">
        <v>2575703179.6699982</v>
      </c>
      <c r="BQ25" s="8">
        <v>2808756344</v>
      </c>
    </row>
    <row r="26" spans="1:69" x14ac:dyDescent="0.25">
      <c r="A26" s="9" t="s">
        <v>27</v>
      </c>
      <c r="B26" s="8">
        <v>239341902</v>
      </c>
      <c r="C26" s="8">
        <v>280029976</v>
      </c>
      <c r="D26" s="8">
        <v>271350231</v>
      </c>
      <c r="E26" s="8">
        <v>790722109</v>
      </c>
      <c r="F26" s="8">
        <v>236687542</v>
      </c>
      <c r="G26" s="8">
        <v>257462899</v>
      </c>
      <c r="H26" s="8">
        <v>274901429</v>
      </c>
      <c r="I26" s="8">
        <v>769051870</v>
      </c>
      <c r="J26" s="8">
        <v>1559773979</v>
      </c>
      <c r="K26" s="8">
        <v>253680697</v>
      </c>
      <c r="L26" s="8">
        <v>237678991</v>
      </c>
      <c r="M26" s="8">
        <v>269349073</v>
      </c>
      <c r="N26" s="8">
        <v>760708761</v>
      </c>
      <c r="O26" s="8">
        <v>181288001</v>
      </c>
      <c r="P26" s="8">
        <v>292236985</v>
      </c>
      <c r="Q26" s="8">
        <v>284246844</v>
      </c>
      <c r="R26" s="8">
        <v>757771830</v>
      </c>
      <c r="S26" s="8">
        <v>3078254570</v>
      </c>
      <c r="T26" s="8">
        <v>268125214</v>
      </c>
      <c r="U26" s="8">
        <v>274214141</v>
      </c>
      <c r="V26" s="8">
        <v>270408260</v>
      </c>
      <c r="W26" s="8">
        <v>812747615</v>
      </c>
      <c r="X26" s="8">
        <v>279834154</v>
      </c>
      <c r="Y26" s="8">
        <v>278177803</v>
      </c>
      <c r="Z26" s="8">
        <v>303349477</v>
      </c>
      <c r="AA26" s="8">
        <v>861361434</v>
      </c>
      <c r="AB26" s="8">
        <v>1674109049</v>
      </c>
      <c r="AC26" s="8">
        <v>311760081</v>
      </c>
      <c r="AD26" s="8">
        <v>271342267</v>
      </c>
      <c r="AE26" s="8">
        <v>285088301</v>
      </c>
      <c r="AF26" s="8">
        <v>868190649</v>
      </c>
      <c r="AG26" s="8">
        <v>333541042</v>
      </c>
      <c r="AH26" s="8">
        <v>316199281</v>
      </c>
      <c r="AI26" s="8">
        <v>457012501</v>
      </c>
      <c r="AJ26" s="8">
        <v>1106752824</v>
      </c>
      <c r="AK26" s="48">
        <v>1974943473</v>
      </c>
      <c r="AL26" s="8">
        <v>3649052522</v>
      </c>
      <c r="AM26" s="52">
        <v>330111267</v>
      </c>
      <c r="AN26" s="52">
        <v>331034102</v>
      </c>
      <c r="AO26" s="52">
        <v>310019441</v>
      </c>
      <c r="AP26" s="52">
        <v>971164810</v>
      </c>
      <c r="AQ26" s="52">
        <v>311173467</v>
      </c>
      <c r="AR26" s="52">
        <v>293044692</v>
      </c>
      <c r="AS26" s="52">
        <v>327307255</v>
      </c>
      <c r="AT26" s="52">
        <v>931525414</v>
      </c>
      <c r="AU26" s="52">
        <f t="shared" si="1"/>
        <v>1902690224</v>
      </c>
      <c r="AV26" s="52">
        <v>312230694</v>
      </c>
      <c r="AW26" s="52">
        <v>289361306</v>
      </c>
      <c r="AX26" s="52">
        <v>442382371</v>
      </c>
      <c r="AY26" s="52">
        <v>1043974371</v>
      </c>
      <c r="AZ26" s="52">
        <v>312385995</v>
      </c>
      <c r="BA26" s="8">
        <v>334714734</v>
      </c>
      <c r="BB26" s="8">
        <v>409820730</v>
      </c>
      <c r="BC26" s="8">
        <v>1056921459</v>
      </c>
      <c r="BD26" s="8">
        <v>2100895830</v>
      </c>
      <c r="BE26" s="8">
        <v>4003586054</v>
      </c>
      <c r="BF26" s="8">
        <v>328608415</v>
      </c>
      <c r="BG26" s="8">
        <v>328394849</v>
      </c>
      <c r="BH26" s="8">
        <v>340317001</v>
      </c>
      <c r="BI26" s="8">
        <v>997320265</v>
      </c>
      <c r="BJ26" s="8">
        <v>374553955</v>
      </c>
      <c r="BK26" s="8">
        <v>337779163</v>
      </c>
      <c r="BL26" s="8">
        <v>410118755.03999996</v>
      </c>
      <c r="BM26" s="8">
        <v>1122451873.04</v>
      </c>
      <c r="BN26" s="8">
        <v>2119772138.04</v>
      </c>
      <c r="BO26" s="8">
        <v>394383874</v>
      </c>
      <c r="BP26" s="8">
        <v>338703159.96000004</v>
      </c>
      <c r="BQ26" s="8">
        <v>368536413</v>
      </c>
    </row>
    <row r="27" spans="1:69" x14ac:dyDescent="0.25">
      <c r="A27" s="9" t="s">
        <v>28</v>
      </c>
      <c r="B27" s="8">
        <v>522946877.94</v>
      </c>
      <c r="C27" s="8">
        <v>559148687.48000002</v>
      </c>
      <c r="D27" s="8">
        <v>604438683.62</v>
      </c>
      <c r="E27" s="8">
        <v>1686534249.04</v>
      </c>
      <c r="F27" s="8">
        <v>958998716.76999998</v>
      </c>
      <c r="G27" s="8">
        <v>1476947187.9000001</v>
      </c>
      <c r="H27" s="8">
        <v>939072002.49000001</v>
      </c>
      <c r="I27" s="8">
        <v>3375017907.1600003</v>
      </c>
      <c r="J27" s="8">
        <v>5061552156.2000008</v>
      </c>
      <c r="K27" s="8">
        <v>1314913497.7049999</v>
      </c>
      <c r="L27" s="8">
        <v>1055379612.83</v>
      </c>
      <c r="M27" s="8">
        <v>1272454928.6399999</v>
      </c>
      <c r="N27" s="8">
        <v>3642748039.1749997</v>
      </c>
      <c r="O27" s="8">
        <v>1026769190.85</v>
      </c>
      <c r="P27" s="8">
        <v>1248831060.3</v>
      </c>
      <c r="Q27" s="8">
        <v>2415899686.0799999</v>
      </c>
      <c r="R27" s="8">
        <v>4691499937.2300005</v>
      </c>
      <c r="S27" s="8">
        <v>13395800132.605001</v>
      </c>
      <c r="T27" s="8">
        <v>2574294459.1799998</v>
      </c>
      <c r="U27" s="8">
        <v>525069679.5</v>
      </c>
      <c r="V27" s="8">
        <v>555252370.73599994</v>
      </c>
      <c r="W27" s="8">
        <v>3654616509.4159999</v>
      </c>
      <c r="X27" s="8">
        <v>557171583.95599997</v>
      </c>
      <c r="Y27" s="8">
        <v>511758399.5</v>
      </c>
      <c r="Z27" s="8">
        <v>1407264723.9000001</v>
      </c>
      <c r="AA27" s="8">
        <v>2658236446.5560002</v>
      </c>
      <c r="AB27" s="8">
        <v>6312852955.9720001</v>
      </c>
      <c r="AC27" s="8">
        <v>1620312547.8</v>
      </c>
      <c r="AD27" s="8">
        <v>823629585.36000001</v>
      </c>
      <c r="AE27" s="8">
        <v>840378040.27999997</v>
      </c>
      <c r="AF27" s="8">
        <v>3284320173.4399996</v>
      </c>
      <c r="AG27" s="8">
        <v>624863241.07700002</v>
      </c>
      <c r="AH27" s="8">
        <v>646076077.26300001</v>
      </c>
      <c r="AI27" s="8">
        <v>739471915.70000005</v>
      </c>
      <c r="AJ27" s="8">
        <v>2010411234.0400002</v>
      </c>
      <c r="AK27" s="48">
        <v>5294731407.4799995</v>
      </c>
      <c r="AL27" s="8">
        <v>11607584363.452</v>
      </c>
      <c r="AM27" s="52">
        <v>800999730.64999998</v>
      </c>
      <c r="AN27" s="52">
        <v>808428755.50999999</v>
      </c>
      <c r="AO27" s="52">
        <v>806264146.66999996</v>
      </c>
      <c r="AP27" s="52">
        <v>2415692632.8299999</v>
      </c>
      <c r="AQ27" s="52">
        <v>675352643.63999999</v>
      </c>
      <c r="AR27" s="52">
        <v>885735422.625</v>
      </c>
      <c r="AS27" s="52">
        <v>1657390916.2250004</v>
      </c>
      <c r="AT27" s="52">
        <v>3218478982.4900002</v>
      </c>
      <c r="AU27" s="52">
        <f t="shared" si="1"/>
        <v>5634171615.3199997</v>
      </c>
      <c r="AV27" s="52">
        <v>804751078.68000031</v>
      </c>
      <c r="AW27" s="52">
        <v>781544479.49899995</v>
      </c>
      <c r="AX27" s="52">
        <v>2705008765.5110002</v>
      </c>
      <c r="AY27" s="52">
        <v>4291304323.6900005</v>
      </c>
      <c r="AZ27" s="52">
        <v>1164889288.4199996</v>
      </c>
      <c r="BA27" s="8">
        <v>1590494453.7099991</v>
      </c>
      <c r="BB27" s="8">
        <v>3508636051.6399999</v>
      </c>
      <c r="BC27" s="8">
        <v>6264019793.7699986</v>
      </c>
      <c r="BD27" s="8">
        <v>10555324117.459999</v>
      </c>
      <c r="BE27" s="8">
        <v>16189495732.779999</v>
      </c>
      <c r="BF27" s="8">
        <v>1246563758.24</v>
      </c>
      <c r="BG27" s="8">
        <v>1117306952.02</v>
      </c>
      <c r="BH27" s="8">
        <v>1128062171.3</v>
      </c>
      <c r="BI27" s="8">
        <v>3491932881.5600004</v>
      </c>
      <c r="BJ27" s="8">
        <v>1068554372.7099996</v>
      </c>
      <c r="BK27" s="8">
        <v>968540693.34999943</v>
      </c>
      <c r="BL27" s="8">
        <v>1174045288.8000004</v>
      </c>
      <c r="BM27" s="8">
        <v>3211140354.8599997</v>
      </c>
      <c r="BN27" s="8">
        <v>6703073236.4200001</v>
      </c>
      <c r="BO27" s="8">
        <v>2952191726.5699987</v>
      </c>
      <c r="BP27" s="8">
        <v>1365931869.1499996</v>
      </c>
      <c r="BQ27" s="8">
        <v>1825124908.7999988</v>
      </c>
    </row>
    <row r="28" spans="1:69" x14ac:dyDescent="0.25">
      <c r="A28" s="9" t="s">
        <v>53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48"/>
      <c r="AL28" s="8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8"/>
      <c r="BB28" s="8"/>
      <c r="BC28" s="8"/>
      <c r="BD28" s="8"/>
      <c r="BE28" s="8"/>
      <c r="BF28" s="8">
        <v>753375</v>
      </c>
      <c r="BG28" s="8">
        <v>4526953</v>
      </c>
      <c r="BH28" s="8">
        <v>10983913</v>
      </c>
      <c r="BI28" s="8">
        <v>16264241</v>
      </c>
      <c r="BJ28" s="8">
        <v>11666677</v>
      </c>
      <c r="BK28" s="8">
        <v>13952441</v>
      </c>
      <c r="BL28" s="8">
        <v>20569397</v>
      </c>
      <c r="BM28" s="8">
        <v>46188515</v>
      </c>
      <c r="BN28" s="8">
        <v>62452756</v>
      </c>
      <c r="BO28" s="8">
        <v>16946791</v>
      </c>
      <c r="BP28" s="8">
        <v>14489592</v>
      </c>
      <c r="BQ28" s="8">
        <v>17623962</v>
      </c>
    </row>
    <row r="29" spans="1:69" x14ac:dyDescent="0.25">
      <c r="A29" s="12" t="s">
        <v>29</v>
      </c>
      <c r="B29" s="6">
        <v>149731640006.8295</v>
      </c>
      <c r="C29" s="6">
        <v>173727660826.00348</v>
      </c>
      <c r="D29" s="6">
        <v>218192481179.24658</v>
      </c>
      <c r="E29" s="6">
        <v>541651782012.07959</v>
      </c>
      <c r="F29" s="6">
        <v>147768492665.37601</v>
      </c>
      <c r="G29" s="6">
        <v>171178377775.19058</v>
      </c>
      <c r="H29" s="6">
        <v>230769503894.20184</v>
      </c>
      <c r="I29" s="6">
        <v>549716374334.76843</v>
      </c>
      <c r="J29" s="6">
        <v>1091368156346.848</v>
      </c>
      <c r="K29" s="6">
        <v>175121767101.02957</v>
      </c>
      <c r="L29" s="6">
        <v>146591986374.60831</v>
      </c>
      <c r="M29" s="6">
        <v>262016010001.71997</v>
      </c>
      <c r="N29" s="6">
        <v>583729763477.35791</v>
      </c>
      <c r="O29" s="6">
        <v>186385206670.03226</v>
      </c>
      <c r="P29" s="6">
        <v>174052726205.65417</v>
      </c>
      <c r="Q29" s="6">
        <v>265431055521.07751</v>
      </c>
      <c r="R29" s="6">
        <v>625868988396.76392</v>
      </c>
      <c r="S29" s="6">
        <v>2300966908220.9697</v>
      </c>
      <c r="T29" s="6">
        <v>186214108249.17999</v>
      </c>
      <c r="U29" s="6">
        <v>185476392517.84998</v>
      </c>
      <c r="V29" s="6">
        <v>221811994085.83591</v>
      </c>
      <c r="W29" s="6">
        <v>593502494852.86584</v>
      </c>
      <c r="X29" s="6">
        <v>195133504665.00739</v>
      </c>
      <c r="Y29" s="6">
        <v>178785684225.1683</v>
      </c>
      <c r="Z29" s="6">
        <v>243549243323.84308</v>
      </c>
      <c r="AA29" s="6">
        <v>617650473953.21887</v>
      </c>
      <c r="AB29" s="6">
        <v>1211152968806.0847</v>
      </c>
      <c r="AC29" s="6">
        <v>211850261478.17969</v>
      </c>
      <c r="AD29" s="6">
        <v>171592882400.41321</v>
      </c>
      <c r="AE29" s="6">
        <v>202645199805.0892</v>
      </c>
      <c r="AF29" s="6">
        <v>586088343683.68213</v>
      </c>
      <c r="AG29" s="6">
        <f>AG4+AG11+AG23</f>
        <v>252122133549.59518</v>
      </c>
      <c r="AH29" s="6">
        <f>AH4+AH11+AH23</f>
        <v>190118380477.7218</v>
      </c>
      <c r="AI29" s="6">
        <f>AI4+AI11+AI23</f>
        <v>330356632663.24603</v>
      </c>
      <c r="AJ29" s="6">
        <f>AJ4+AJ11+AJ23</f>
        <v>772597146690.56299</v>
      </c>
      <c r="AK29" s="47">
        <f>AK4+AK11+AK23</f>
        <v>1358905570732.2451</v>
      </c>
      <c r="AL29" s="6">
        <f>AL4+AL11+AL23</f>
        <v>2570058539538.3301</v>
      </c>
      <c r="AM29" s="58">
        <v>213575168886.51111</v>
      </c>
      <c r="AN29" s="58">
        <v>211980277605.55981</v>
      </c>
      <c r="AO29" s="58">
        <v>272164087978.34109</v>
      </c>
      <c r="AP29" s="58">
        <v>697719534470.41199</v>
      </c>
      <c r="AQ29" s="58">
        <v>231512123568.13043</v>
      </c>
      <c r="AR29" s="58">
        <v>210543818543.89325</v>
      </c>
      <c r="AS29" s="58">
        <v>295382959345.21429</v>
      </c>
      <c r="AT29" s="58">
        <v>737438901457.23792</v>
      </c>
      <c r="AU29" s="58">
        <f t="shared" si="1"/>
        <v>1435158435927.6499</v>
      </c>
      <c r="AV29" s="58">
        <v>240567732108.17099</v>
      </c>
      <c r="AW29" s="58">
        <v>203829336420.04898</v>
      </c>
      <c r="AX29" s="58">
        <v>284296466377.93103</v>
      </c>
      <c r="AY29" s="58">
        <v>728693534906.15112</v>
      </c>
      <c r="AZ29" s="58">
        <v>248463732489.81696</v>
      </c>
      <c r="BA29" s="6">
        <v>215673445169.78006</v>
      </c>
      <c r="BB29" s="6">
        <v>365016426905.61499</v>
      </c>
      <c r="BC29" s="6">
        <v>829153604565.21204</v>
      </c>
      <c r="BD29" s="6">
        <v>1557847139471.363</v>
      </c>
      <c r="BE29" s="6">
        <v>2993005575399.0127</v>
      </c>
      <c r="BF29" s="6">
        <v>256289292062.48203</v>
      </c>
      <c r="BG29" s="6">
        <v>264682349865.16397</v>
      </c>
      <c r="BH29" s="6">
        <v>347426247845.89606</v>
      </c>
      <c r="BI29" s="6">
        <v>868397889773.54199</v>
      </c>
      <c r="BJ29" s="6">
        <v>302526520894.526</v>
      </c>
      <c r="BK29" s="6">
        <v>252974164423.43698</v>
      </c>
      <c r="BL29" s="6">
        <v>386259490338.44</v>
      </c>
      <c r="BM29" s="6">
        <v>941760175656.40295</v>
      </c>
      <c r="BN29" s="6">
        <v>1810158065429.9448</v>
      </c>
      <c r="BO29" s="6">
        <v>313666734738.95203</v>
      </c>
      <c r="BP29" s="6">
        <v>257847700079.08997</v>
      </c>
      <c r="BQ29" s="6">
        <v>411798582864.57806</v>
      </c>
    </row>
    <row r="30" spans="1:69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6">
        <v>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6"/>
      <c r="AG30" s="14"/>
      <c r="AH30" s="14"/>
      <c r="AI30" s="14"/>
      <c r="AJ30" s="14"/>
      <c r="AK30" s="14"/>
      <c r="AL30" s="6"/>
      <c r="AM30" s="21"/>
      <c r="AN30" s="21"/>
      <c r="AO30" s="21"/>
      <c r="AP30" s="21"/>
      <c r="AT30" s="21"/>
      <c r="AU30" s="21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</row>
    <row r="31" spans="1:69" x14ac:dyDescent="0.3">
      <c r="A31" s="15" t="s">
        <v>30</v>
      </c>
      <c r="B31" s="6">
        <v>2260740993.7979999</v>
      </c>
      <c r="C31" s="6">
        <v>2122233561.4302807</v>
      </c>
      <c r="D31" s="6">
        <v>2123492212.5117183</v>
      </c>
      <c r="E31" s="6">
        <v>6506466767.7399998</v>
      </c>
      <c r="F31" s="6">
        <v>1966211814.7899966</v>
      </c>
      <c r="G31" s="6">
        <v>2230200526.0176702</v>
      </c>
      <c r="H31" s="6">
        <v>2770832013.9173579</v>
      </c>
      <c r="I31" s="6">
        <v>6967244354.7250252</v>
      </c>
      <c r="J31" s="6">
        <v>13473711122.465025</v>
      </c>
      <c r="K31" s="6">
        <v>2642924915.1448998</v>
      </c>
      <c r="L31" s="6">
        <v>2298663838.3080602</v>
      </c>
      <c r="M31" s="6">
        <v>3031455184.1599998</v>
      </c>
      <c r="N31" s="6">
        <v>7973043937.6129599</v>
      </c>
      <c r="O31" s="6">
        <v>2260780994.3920121</v>
      </c>
      <c r="P31" s="6">
        <v>3100745339.0489998</v>
      </c>
      <c r="Q31" s="16">
        <v>4817914050.8635292</v>
      </c>
      <c r="R31" s="6">
        <v>10179440384.304541</v>
      </c>
      <c r="S31" s="6">
        <v>31626195444.382523</v>
      </c>
      <c r="T31" s="6">
        <v>4152931991.4171996</v>
      </c>
      <c r="U31" s="6">
        <v>4231787377</v>
      </c>
      <c r="V31" s="6">
        <v>3489479727.9099998</v>
      </c>
      <c r="W31" s="6">
        <v>11874199096.3272</v>
      </c>
      <c r="X31" s="6">
        <v>4173801830.8300004</v>
      </c>
      <c r="Y31" s="6">
        <v>5883634271.9100008</v>
      </c>
      <c r="Z31" s="6">
        <v>4154659871.1299996</v>
      </c>
      <c r="AA31" s="6">
        <v>14212095973.870001</v>
      </c>
      <c r="AB31" s="6">
        <v>26086295070.197201</v>
      </c>
      <c r="AC31" s="6">
        <v>4202785374.98</v>
      </c>
      <c r="AD31" s="6">
        <v>3826640943.652</v>
      </c>
      <c r="AE31" s="6">
        <v>4601190371.8570004</v>
      </c>
      <c r="AF31" s="6">
        <v>12630616690.489</v>
      </c>
      <c r="AG31" s="6">
        <f>'[3]Current data from BI'!AB52</f>
        <v>3331692381.2224998</v>
      </c>
      <c r="AH31" s="6">
        <f>'[3]Current data from BI'!M39</f>
        <v>3978916955.7605</v>
      </c>
      <c r="AI31" s="6">
        <f>'[3]Current data from BI'!N39</f>
        <v>5470157677.1819477</v>
      </c>
      <c r="AJ31" s="6">
        <f>AG31+AH31+AI31</f>
        <v>12780767014.164948</v>
      </c>
      <c r="AK31" s="47">
        <f>'[3]Summary for MINECOFIN'!N28+AJ31</f>
        <v>25411383704.653946</v>
      </c>
      <c r="AL31" s="6">
        <f>AK31+'[3]Summary for MINECOFIN'!J28</f>
        <v>51497678774.851151</v>
      </c>
      <c r="AM31" s="53">
        <v>4810344689.6700001</v>
      </c>
      <c r="AN31" s="53">
        <v>4910975151.1933002</v>
      </c>
      <c r="AO31" s="53">
        <v>3606023579.9166999</v>
      </c>
      <c r="AP31" s="53">
        <f t="shared" ref="AP31:AP34" si="2">AM31+AN31+AO31</f>
        <v>13327343420.780001</v>
      </c>
      <c r="AQ31" s="53">
        <v>4422673878.1999998</v>
      </c>
      <c r="AR31" s="53">
        <v>4206770963.8649998</v>
      </c>
      <c r="AS31" s="53">
        <v>3155979415.3749976</v>
      </c>
      <c r="AT31" s="53">
        <f t="shared" ref="AT31:AT34" si="3">AQ31+AR31+AS31</f>
        <v>11785424257.439997</v>
      </c>
      <c r="AU31" s="53">
        <f t="shared" si="1"/>
        <v>25112767678.219997</v>
      </c>
      <c r="AV31" s="53">
        <v>3681875202.5500045</v>
      </c>
      <c r="AW31" s="53">
        <v>3697799216.3099995</v>
      </c>
      <c r="AX31" s="53">
        <v>4234309237.1599932</v>
      </c>
      <c r="AY31" s="53">
        <v>11613983656.019997</v>
      </c>
      <c r="AZ31" s="53">
        <v>3497205136.6300044</v>
      </c>
      <c r="BA31" s="6">
        <v>3672435415.0600123</v>
      </c>
      <c r="BB31" s="6">
        <v>4226223583.7239637</v>
      </c>
      <c r="BC31" s="6">
        <v>11395864135.41398</v>
      </c>
      <c r="BD31" s="6">
        <v>23009847791.433975</v>
      </c>
      <c r="BE31" s="6">
        <v>48122615469.653976</v>
      </c>
      <c r="BF31" s="6">
        <v>4025433671.2600002</v>
      </c>
      <c r="BG31" s="6">
        <v>4160047060.500001</v>
      </c>
      <c r="BH31" s="6">
        <v>4061251794.2400012</v>
      </c>
      <c r="BI31" s="6">
        <v>12246732526.000002</v>
      </c>
      <c r="BJ31" s="6">
        <v>4543031543.5199976</v>
      </c>
      <c r="BK31" s="6">
        <v>3785062956.680007</v>
      </c>
      <c r="BL31" s="6">
        <v>4043223411.7399969</v>
      </c>
      <c r="BM31" s="6">
        <v>12371317911.940002</v>
      </c>
      <c r="BN31" s="6">
        <v>24618050437.940002</v>
      </c>
      <c r="BO31" s="6">
        <v>3965396020.1799989</v>
      </c>
      <c r="BP31" s="6">
        <v>3656262304.0399947</v>
      </c>
      <c r="BQ31" s="6">
        <v>4086628884.8799934</v>
      </c>
    </row>
    <row r="32" spans="1:69" ht="15" customHeight="1" x14ac:dyDescent="0.3">
      <c r="A32" s="15" t="s">
        <v>31</v>
      </c>
      <c r="B32" s="6">
        <v>3990974549</v>
      </c>
      <c r="C32" s="6">
        <v>4676628193</v>
      </c>
      <c r="D32" s="6">
        <v>4375692394</v>
      </c>
      <c r="E32" s="6">
        <v>13043295136</v>
      </c>
      <c r="F32" s="6">
        <v>4221623189</v>
      </c>
      <c r="G32" s="6">
        <v>4616676521</v>
      </c>
      <c r="H32" s="6">
        <v>6834689194</v>
      </c>
      <c r="I32" s="6">
        <v>15672988904</v>
      </c>
      <c r="J32" s="6">
        <v>28716284040</v>
      </c>
      <c r="K32" s="6">
        <v>32021287588</v>
      </c>
      <c r="L32" s="6">
        <v>6080377468</v>
      </c>
      <c r="M32" s="6">
        <v>5855958110</v>
      </c>
      <c r="N32" s="6">
        <v>43957623166</v>
      </c>
      <c r="O32" s="6">
        <v>4100595624</v>
      </c>
      <c r="P32" s="6">
        <v>4553226042</v>
      </c>
      <c r="Q32" s="16">
        <v>5190285521</v>
      </c>
      <c r="R32" s="6">
        <v>13844107187</v>
      </c>
      <c r="S32" s="6">
        <v>86518014393</v>
      </c>
      <c r="T32" s="6">
        <v>4322823445</v>
      </c>
      <c r="U32" s="6">
        <v>4824745944</v>
      </c>
      <c r="V32" s="6">
        <v>4589876646</v>
      </c>
      <c r="W32" s="6">
        <v>13737446035</v>
      </c>
      <c r="X32" s="6">
        <v>4058107719</v>
      </c>
      <c r="Y32" s="6">
        <v>4432674571</v>
      </c>
      <c r="Z32" s="6">
        <v>5080340961</v>
      </c>
      <c r="AA32" s="6">
        <v>13571123251</v>
      </c>
      <c r="AB32" s="6">
        <v>27308569286</v>
      </c>
      <c r="AC32" s="6">
        <v>11855838653</v>
      </c>
      <c r="AD32" s="6">
        <v>27759715949</v>
      </c>
      <c r="AE32" s="6">
        <v>5653836138</v>
      </c>
      <c r="AF32" s="6">
        <v>45269390740</v>
      </c>
      <c r="AG32" s="6">
        <f>AG34+AG33</f>
        <v>6063548998</v>
      </c>
      <c r="AH32" s="6">
        <f>AH34+AH33</f>
        <v>5407432577</v>
      </c>
      <c r="AI32" s="6">
        <f>AI34+AI33</f>
        <v>5562249056</v>
      </c>
      <c r="AJ32" s="6">
        <f>AG32+AH32+AI32</f>
        <v>17033230631</v>
      </c>
      <c r="AK32" s="47">
        <f>'[3]Summary for MINECOFIN'!N29+AJ32</f>
        <v>62302621371</v>
      </c>
      <c r="AL32" s="6">
        <f>AK32+'[3]Summary for MINECOFIN'!J29</f>
        <v>89611190657</v>
      </c>
      <c r="AM32" s="53">
        <v>6009552534</v>
      </c>
      <c r="AN32" s="53">
        <v>4906205713</v>
      </c>
      <c r="AO32" s="53">
        <v>5122596635</v>
      </c>
      <c r="AP32" s="53">
        <f t="shared" si="2"/>
        <v>16038354882</v>
      </c>
      <c r="AQ32" s="53">
        <v>6784883254</v>
      </c>
      <c r="AR32" s="53">
        <v>5630197940</v>
      </c>
      <c r="AS32" s="53">
        <v>18364542547</v>
      </c>
      <c r="AT32" s="53">
        <f t="shared" si="3"/>
        <v>30779623741</v>
      </c>
      <c r="AU32" s="53">
        <f t="shared" si="1"/>
        <v>46817978623</v>
      </c>
      <c r="AV32" s="53">
        <v>27274446148</v>
      </c>
      <c r="AW32" s="53">
        <v>6017622876</v>
      </c>
      <c r="AX32" s="53">
        <v>7140022270</v>
      </c>
      <c r="AY32" s="53">
        <v>40432091294</v>
      </c>
      <c r="AZ32" s="53">
        <v>7271254780</v>
      </c>
      <c r="BA32" s="6">
        <v>6470199182</v>
      </c>
      <c r="BB32" s="6">
        <v>6534997934</v>
      </c>
      <c r="BC32" s="6">
        <v>20276451896</v>
      </c>
      <c r="BD32" s="6">
        <v>60708543190</v>
      </c>
      <c r="BE32" s="6">
        <v>107526521813</v>
      </c>
      <c r="BF32" s="6">
        <v>8226218690</v>
      </c>
      <c r="BG32" s="6">
        <v>6939746095</v>
      </c>
      <c r="BH32" s="6">
        <v>7040574836.999999</v>
      </c>
      <c r="BI32" s="6">
        <v>22206539622</v>
      </c>
      <c r="BJ32" s="6">
        <v>9041438481</v>
      </c>
      <c r="BK32" s="6">
        <v>8307831231</v>
      </c>
      <c r="BL32" s="6">
        <v>22933751295</v>
      </c>
      <c r="BM32" s="6">
        <v>40283021007</v>
      </c>
      <c r="BN32" s="6">
        <v>62489560629</v>
      </c>
      <c r="BO32" s="6">
        <v>32125249894</v>
      </c>
      <c r="BP32" s="6">
        <v>9057565861</v>
      </c>
      <c r="BQ32" s="6">
        <v>8162780003</v>
      </c>
    </row>
    <row r="33" spans="1:69" ht="15" customHeight="1" x14ac:dyDescent="0.3">
      <c r="A33" s="17" t="s">
        <v>32</v>
      </c>
      <c r="B33" s="17">
        <v>639852704</v>
      </c>
      <c r="C33" s="17">
        <v>783213618</v>
      </c>
      <c r="D33" s="17">
        <v>755509825</v>
      </c>
      <c r="E33" s="18">
        <v>2178576147</v>
      </c>
      <c r="F33" s="17">
        <v>587913636</v>
      </c>
      <c r="G33" s="17">
        <v>859851122</v>
      </c>
      <c r="H33" s="17">
        <v>2745309883</v>
      </c>
      <c r="I33" s="17">
        <v>4193074641</v>
      </c>
      <c r="J33" s="17">
        <v>6371650788</v>
      </c>
      <c r="K33" s="17">
        <v>27568145196</v>
      </c>
      <c r="L33" s="17">
        <v>2554608500</v>
      </c>
      <c r="M33" s="17">
        <v>1882846842</v>
      </c>
      <c r="N33" s="17">
        <v>32005600538</v>
      </c>
      <c r="O33" s="17">
        <v>949291237</v>
      </c>
      <c r="P33" s="17">
        <v>1215247203</v>
      </c>
      <c r="Q33" s="17">
        <v>1003566874</v>
      </c>
      <c r="R33" s="17">
        <v>3168105314</v>
      </c>
      <c r="S33" s="6">
        <v>41545356640</v>
      </c>
      <c r="T33" s="17">
        <v>786139544</v>
      </c>
      <c r="U33" s="17">
        <v>888667010</v>
      </c>
      <c r="V33" s="17">
        <v>699758010</v>
      </c>
      <c r="W33" s="18">
        <v>2374564564</v>
      </c>
      <c r="X33" s="17">
        <v>759665506</v>
      </c>
      <c r="Y33" s="17">
        <v>837058335</v>
      </c>
      <c r="Z33" s="31">
        <v>815252690</v>
      </c>
      <c r="AA33" s="31">
        <v>2411976531</v>
      </c>
      <c r="AB33" s="31">
        <v>4786541095</v>
      </c>
      <c r="AC33" s="31">
        <v>8330168379</v>
      </c>
      <c r="AD33" s="31">
        <v>24612660431.107262</v>
      </c>
      <c r="AE33" s="31">
        <v>3297056621</v>
      </c>
      <c r="AF33" s="31">
        <v>36239885431.107262</v>
      </c>
      <c r="AG33" s="17">
        <v>3897800575</v>
      </c>
      <c r="AH33" s="17">
        <v>2700069155</v>
      </c>
      <c r="AI33" s="17">
        <v>2766698500</v>
      </c>
      <c r="AJ33" s="17">
        <v>9364568230</v>
      </c>
      <c r="AK33" s="50">
        <v>45604453661.107262</v>
      </c>
      <c r="AL33" s="36">
        <f>'[3]Summary for MINECOFIN'!E30+'[3]Summary for MINECOFIN'!I30+'[3]Summary for MINECOFIN'!N30+AJ33</f>
        <v>50390994756.107262</v>
      </c>
      <c r="AM33" s="31">
        <v>3508021973</v>
      </c>
      <c r="AN33" s="31">
        <v>2349798251</v>
      </c>
      <c r="AO33" s="31">
        <v>2617032703</v>
      </c>
      <c r="AP33" s="31">
        <f t="shared" si="2"/>
        <v>8474852927</v>
      </c>
      <c r="AQ33" s="31">
        <v>4090732183</v>
      </c>
      <c r="AR33" s="31">
        <v>3156738417</v>
      </c>
      <c r="AS33" s="31">
        <v>15098385461</v>
      </c>
      <c r="AT33" s="31">
        <f t="shared" si="3"/>
        <v>22345856061</v>
      </c>
      <c r="AU33" s="31">
        <f t="shared" si="1"/>
        <v>30820708988</v>
      </c>
      <c r="AV33" s="31">
        <v>24783349678</v>
      </c>
      <c r="AW33" s="31">
        <v>3696684606</v>
      </c>
      <c r="AX33" s="31">
        <v>4123701995</v>
      </c>
      <c r="AY33" s="31">
        <v>32603736279</v>
      </c>
      <c r="AZ33" s="31">
        <v>4760379710</v>
      </c>
      <c r="BA33" s="17">
        <v>3642373356</v>
      </c>
      <c r="BB33" s="17">
        <v>3349203867</v>
      </c>
      <c r="BC33" s="17">
        <v>11751956933</v>
      </c>
      <c r="BD33" s="17">
        <v>44355693212</v>
      </c>
      <c r="BE33" s="36">
        <v>75176402200</v>
      </c>
      <c r="BF33" s="17">
        <v>5277170572</v>
      </c>
      <c r="BG33" s="17">
        <v>3759375109</v>
      </c>
      <c r="BH33" s="17">
        <v>3892454351.999999</v>
      </c>
      <c r="BI33" s="17">
        <v>12929000033</v>
      </c>
      <c r="BJ33" s="17">
        <v>5561372606</v>
      </c>
      <c r="BK33" s="17">
        <v>5226519181</v>
      </c>
      <c r="BL33" s="17">
        <v>18880571812</v>
      </c>
      <c r="BM33" s="17">
        <v>29668463599</v>
      </c>
      <c r="BN33" s="17">
        <v>42597463632</v>
      </c>
      <c r="BO33" s="17">
        <v>29000245811</v>
      </c>
      <c r="BP33" s="17">
        <v>6063804600</v>
      </c>
      <c r="BQ33" s="17">
        <v>5076614401</v>
      </c>
    </row>
    <row r="34" spans="1:69" x14ac:dyDescent="0.3">
      <c r="A34" s="17" t="s">
        <v>33</v>
      </c>
      <c r="B34" s="17">
        <v>3351121845</v>
      </c>
      <c r="C34" s="17">
        <v>3893414575</v>
      </c>
      <c r="D34" s="17">
        <v>3620182569</v>
      </c>
      <c r="E34" s="18">
        <v>10864718989</v>
      </c>
      <c r="F34" s="17">
        <v>3633709553</v>
      </c>
      <c r="G34" s="17">
        <v>3756825399</v>
      </c>
      <c r="H34" s="17">
        <v>4089379311</v>
      </c>
      <c r="I34" s="17">
        <v>11479914263</v>
      </c>
      <c r="J34" s="17">
        <v>22344633252</v>
      </c>
      <c r="K34" s="17">
        <v>4453142392</v>
      </c>
      <c r="L34" s="17">
        <v>3525768968</v>
      </c>
      <c r="M34" s="17">
        <v>3973111268</v>
      </c>
      <c r="N34" s="17">
        <v>11952022628</v>
      </c>
      <c r="O34" s="17">
        <v>3151304387</v>
      </c>
      <c r="P34" s="17">
        <v>3337978839</v>
      </c>
      <c r="Q34" s="19">
        <v>4186718647</v>
      </c>
      <c r="R34" s="17">
        <v>10676001873</v>
      </c>
      <c r="S34" s="6">
        <v>44972657753</v>
      </c>
      <c r="T34" s="17">
        <v>3536683901</v>
      </c>
      <c r="U34" s="17">
        <v>3936078934</v>
      </c>
      <c r="V34" s="17">
        <v>3890118636</v>
      </c>
      <c r="W34" s="18">
        <v>11362881471</v>
      </c>
      <c r="X34" s="17">
        <v>3298442213</v>
      </c>
      <c r="Y34" s="17">
        <v>3595616236</v>
      </c>
      <c r="Z34" s="31">
        <v>4265088271</v>
      </c>
      <c r="AA34" s="31">
        <v>11159146720</v>
      </c>
      <c r="AB34" s="31">
        <v>22522028191</v>
      </c>
      <c r="AC34" s="31">
        <v>3525670274</v>
      </c>
      <c r="AD34" s="31">
        <v>3147055517.8927374</v>
      </c>
      <c r="AE34" s="31">
        <v>2356779517</v>
      </c>
      <c r="AF34" s="31">
        <v>9029505308.8927383</v>
      </c>
      <c r="AG34" s="17">
        <v>2165748423</v>
      </c>
      <c r="AH34" s="17">
        <v>2707363422</v>
      </c>
      <c r="AI34" s="17">
        <v>2795550556</v>
      </c>
      <c r="AJ34" s="17">
        <v>7668662401</v>
      </c>
      <c r="AK34" s="50">
        <v>16698167709.892738</v>
      </c>
      <c r="AL34" s="36">
        <f>'[3]Summary for MINECOFIN'!E31+'[3]Summary for MINECOFIN'!I31+'[3]Summary for MINECOFIN'!N31+AJ34</f>
        <v>39220195900.892738</v>
      </c>
      <c r="AM34" s="31">
        <v>2501530561</v>
      </c>
      <c r="AN34" s="31">
        <v>2556407462</v>
      </c>
      <c r="AO34" s="31">
        <v>2505563932</v>
      </c>
      <c r="AP34" s="31">
        <f t="shared" si="2"/>
        <v>7563501955</v>
      </c>
      <c r="AQ34" s="31">
        <v>2694151071</v>
      </c>
      <c r="AR34" s="31">
        <v>2473459523</v>
      </c>
      <c r="AS34" s="31">
        <v>3266157086</v>
      </c>
      <c r="AT34" s="31">
        <f t="shared" si="3"/>
        <v>8433767680</v>
      </c>
      <c r="AU34" s="31">
        <f t="shared" si="1"/>
        <v>15997269635</v>
      </c>
      <c r="AV34" s="31">
        <v>2491096470</v>
      </c>
      <c r="AW34" s="31">
        <v>2320938270</v>
      </c>
      <c r="AX34" s="31">
        <v>3016320275</v>
      </c>
      <c r="AY34" s="31">
        <v>7828355015</v>
      </c>
      <c r="AZ34" s="31">
        <v>2510875070</v>
      </c>
      <c r="BA34" s="17">
        <v>2827825826</v>
      </c>
      <c r="BB34" s="17">
        <v>3185794067</v>
      </c>
      <c r="BC34" s="17">
        <v>8524494963</v>
      </c>
      <c r="BD34" s="17">
        <v>16352849978</v>
      </c>
      <c r="BE34" s="36">
        <v>32350119613</v>
      </c>
      <c r="BF34" s="17">
        <v>2949048118</v>
      </c>
      <c r="BG34" s="17">
        <v>3180370986</v>
      </c>
      <c r="BH34" s="17">
        <v>3148120485</v>
      </c>
      <c r="BI34" s="17">
        <v>9277539589</v>
      </c>
      <c r="BJ34" s="17">
        <v>3480065875</v>
      </c>
      <c r="BK34" s="17">
        <v>3081312050</v>
      </c>
      <c r="BL34" s="17">
        <v>4053179483</v>
      </c>
      <c r="BM34" s="17">
        <v>10614557408</v>
      </c>
      <c r="BN34" s="17">
        <v>19892096997</v>
      </c>
      <c r="BO34" s="17">
        <v>3125004083</v>
      </c>
      <c r="BP34" s="17">
        <v>2993761261</v>
      </c>
      <c r="BQ34" s="17">
        <v>3086165602</v>
      </c>
    </row>
    <row r="35" spans="1:69" x14ac:dyDescent="0.3">
      <c r="N35" s="20"/>
      <c r="Q35" s="21"/>
      <c r="AG35" s="34"/>
      <c r="AH35" s="39"/>
      <c r="AI35" s="40"/>
      <c r="AJ35" s="40"/>
    </row>
    <row r="36" spans="1:69" x14ac:dyDescent="0.3">
      <c r="B36" s="21"/>
      <c r="C36" s="21"/>
      <c r="D36" s="21"/>
      <c r="E36" s="21"/>
      <c r="F36" s="20"/>
      <c r="H36" s="20"/>
      <c r="J36" s="21"/>
      <c r="K36" s="20"/>
      <c r="M36" s="20"/>
      <c r="P36" s="20"/>
      <c r="S36" s="22"/>
      <c r="AG36" s="34"/>
      <c r="AH36" s="34"/>
      <c r="AI36" s="41"/>
      <c r="AJ36" s="40"/>
      <c r="AK36" s="22"/>
      <c r="AL36" s="25"/>
    </row>
    <row r="37" spans="1:69" x14ac:dyDescent="0.3">
      <c r="C37" s="20"/>
      <c r="D37" s="22"/>
      <c r="E37" s="20"/>
      <c r="G37" s="20"/>
      <c r="H37" s="20"/>
      <c r="I37" s="20"/>
      <c r="J37" s="20"/>
      <c r="K37" s="20"/>
      <c r="L37" s="20"/>
      <c r="M37" s="20"/>
      <c r="N37" s="20"/>
      <c r="O37" s="20"/>
      <c r="P37" s="20">
        <f>P31+P29</f>
        <v>177153471544.70319</v>
      </c>
      <c r="Q37" s="20"/>
      <c r="R37" s="20"/>
      <c r="S37" s="23"/>
      <c r="AG37" s="20"/>
      <c r="AH37" s="42"/>
      <c r="AI37" s="20"/>
      <c r="AJ37" s="20"/>
      <c r="AK37" s="14"/>
      <c r="AL37" s="20"/>
    </row>
    <row r="38" spans="1:69" x14ac:dyDescent="0.3">
      <c r="G38" s="20"/>
      <c r="M38" s="20"/>
      <c r="O38" s="20"/>
      <c r="P38" s="22"/>
      <c r="S38" s="25"/>
      <c r="AG38" s="34"/>
      <c r="AH38" s="43"/>
      <c r="AI38" s="44"/>
      <c r="AJ38" s="20"/>
      <c r="AK38" s="14"/>
      <c r="AL38" s="45"/>
    </row>
    <row r="39" spans="1:69" x14ac:dyDescent="0.3">
      <c r="G39" s="20"/>
      <c r="S39" s="20"/>
      <c r="AI39" s="20"/>
      <c r="AK39" s="20"/>
      <c r="AL39" s="38"/>
    </row>
    <row r="40" spans="1:69" x14ac:dyDescent="0.3">
      <c r="AI40" s="20"/>
      <c r="AJ40" s="24"/>
      <c r="AK40" s="24"/>
      <c r="AL40" s="20"/>
    </row>
    <row r="41" spans="1:69" x14ac:dyDescent="0.3">
      <c r="AG41" s="20"/>
      <c r="AI41" s="33"/>
      <c r="AK41" s="20"/>
    </row>
    <row r="42" spans="1:69" x14ac:dyDescent="0.3">
      <c r="AG42" s="21"/>
      <c r="AH42" s="20"/>
      <c r="AI42" s="20"/>
    </row>
    <row r="43" spans="1:69" x14ac:dyDescent="0.3">
      <c r="AL43" s="20">
        <f>AL29+AL31</f>
        <v>2621556218313.1812</v>
      </c>
    </row>
    <row r="44" spans="1:69" x14ac:dyDescent="0.3">
      <c r="AI44" s="21"/>
    </row>
    <row r="46" spans="1:69" x14ac:dyDescent="0.3">
      <c r="Q46" s="11"/>
      <c r="R46" s="11"/>
      <c r="AI46" s="11"/>
      <c r="AJ46" s="11"/>
    </row>
    <row r="47" spans="1:69" x14ac:dyDescent="0.3">
      <c r="AG47" s="21"/>
    </row>
    <row r="48" spans="1:69" x14ac:dyDescent="0.3">
      <c r="AG48" s="21"/>
    </row>
    <row r="49" spans="33:33" x14ac:dyDescent="0.3">
      <c r="AG49" s="20"/>
    </row>
  </sheetData>
  <pageMargins left="0.74803149606299213" right="0.23622047244094491" top="0.74803149606299213" bottom="0.74803149606299213" header="0.31496062992125984" footer="0.31496062992125984"/>
  <pageSetup scale="2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 MINECOFIN detail Penalties</vt:lpstr>
      <vt:lpstr>Summary for MINECOFIN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Niyigena</dc:creator>
  <cp:lastModifiedBy>Celine Uwababyeyi</cp:lastModifiedBy>
  <dcterms:created xsi:type="dcterms:W3CDTF">2023-08-24T15:31:05Z</dcterms:created>
  <dcterms:modified xsi:type="dcterms:W3CDTF">2026-04-23T09:13:15Z</dcterms:modified>
</cp:coreProperties>
</file>