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/>
  <xr:revisionPtr revIDLastSave="0" documentId="13_ncr:1_{3E58036F-BD03-456C-A23A-05ADEB8C00AF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2025Q1&amp;Q2" sheetId="14" r:id="rId1"/>
    <sheet name="Derivation of GDP CP" sheetId="22" r:id="rId2"/>
    <sheet name="Sheet1" sheetId="16" state="hidden" r:id="rId3"/>
    <sheet name="Seasonally adj series" sheetId="15" r:id="rId4"/>
    <sheet name="selection" sheetId="20" r:id="rId5"/>
    <sheet name="Sheet2" sheetId="21" r:id="rId6"/>
    <sheet name="for Econ Brief" sheetId="19" r:id="rId7"/>
  </sheets>
  <definedNames>
    <definedName name="_xlnm._FilterDatabase" localSheetId="4" hidden="1">selection!$A$5:$G$5</definedName>
    <definedName name="_xlnm._FilterDatabase" localSheetId="5" hidden="1">Sheet2!$A$2:$G$2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22" l="1"/>
  <c r="D8" i="22"/>
  <c r="C7" i="22"/>
  <c r="C6" i="22"/>
  <c r="E6" i="22"/>
  <c r="F6" i="22"/>
  <c r="F5" i="22"/>
  <c r="F4" i="22"/>
  <c r="F3" i="22"/>
  <c r="M10" i="22"/>
  <c r="J10" i="22"/>
  <c r="G10" i="22"/>
  <c r="D10" i="22"/>
  <c r="A4" i="22" l="1"/>
  <c r="A5" i="22"/>
  <c r="A3" i="22"/>
  <c r="C79" i="15" l="1"/>
  <c r="E80" i="15"/>
  <c r="F80" i="15"/>
  <c r="C80" i="15"/>
  <c r="F103" i="14" l="1"/>
  <c r="G103" i="14"/>
  <c r="H103" i="14"/>
  <c r="I103" i="14"/>
  <c r="J103" i="14"/>
  <c r="K103" i="14"/>
  <c r="L103" i="14"/>
  <c r="M103" i="14"/>
  <c r="N103" i="14"/>
  <c r="O103" i="14"/>
  <c r="P103" i="14"/>
  <c r="Q103" i="14"/>
  <c r="R103" i="14"/>
  <c r="S103" i="14"/>
  <c r="T103" i="14"/>
  <c r="U103" i="14"/>
  <c r="V103" i="14"/>
  <c r="W103" i="14"/>
  <c r="X103" i="14"/>
  <c r="Y103" i="14"/>
  <c r="Z103" i="14"/>
  <c r="AA103" i="14"/>
  <c r="AB103" i="14"/>
  <c r="AC103" i="14"/>
  <c r="AD103" i="14"/>
  <c r="AE103" i="14"/>
  <c r="AF103" i="14"/>
  <c r="AG103" i="14"/>
  <c r="AH103" i="14"/>
  <c r="AI103" i="14"/>
  <c r="AJ103" i="14"/>
  <c r="AK103" i="14"/>
  <c r="AL103" i="14"/>
  <c r="AM103" i="14"/>
  <c r="AN103" i="14"/>
  <c r="AO103" i="14"/>
  <c r="AP103" i="14"/>
  <c r="AQ103" i="14"/>
  <c r="AR103" i="14"/>
  <c r="AS103" i="14"/>
  <c r="AT103" i="14"/>
  <c r="AU103" i="14"/>
  <c r="AV103" i="14"/>
  <c r="AW103" i="14"/>
  <c r="E103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Y51" i="14"/>
  <c r="Z51" i="14"/>
  <c r="AA51" i="14"/>
  <c r="AB51" i="14"/>
  <c r="AC51" i="14"/>
  <c r="AD51" i="14"/>
  <c r="AE51" i="14"/>
  <c r="AF51" i="14"/>
  <c r="AG51" i="14"/>
  <c r="AH51" i="14"/>
  <c r="AI51" i="14"/>
  <c r="AJ51" i="14"/>
  <c r="AK51" i="14"/>
  <c r="AL51" i="14"/>
  <c r="AM51" i="14"/>
  <c r="AN51" i="14"/>
  <c r="AO51" i="14"/>
  <c r="AP51" i="14"/>
  <c r="AQ51" i="14"/>
  <c r="AR51" i="14"/>
  <c r="AS51" i="14"/>
  <c r="AT51" i="14"/>
  <c r="AU51" i="14"/>
  <c r="AV51" i="14"/>
  <c r="AW51" i="14"/>
  <c r="E51" i="14"/>
  <c r="D49" i="14"/>
  <c r="C49" i="14"/>
  <c r="K46" i="14"/>
  <c r="D103" i="14" s="1"/>
  <c r="J46" i="14"/>
  <c r="C103" i="14" s="1"/>
  <c r="I46" i="14"/>
  <c r="B46" i="14"/>
  <c r="D46" i="14" s="1"/>
  <c r="B103" i="14" s="1"/>
  <c r="C44" i="14"/>
  <c r="E79" i="15"/>
  <c r="I44" i="14"/>
  <c r="K45" i="14"/>
  <c r="C51" i="14" s="1"/>
  <c r="J44" i="14"/>
  <c r="I45" i="14" l="1"/>
  <c r="J45" i="14"/>
  <c r="D51" i="14" s="1"/>
  <c r="B45" i="14"/>
  <c r="D101" i="14"/>
  <c r="F143" i="14" s="1"/>
  <c r="E89" i="14"/>
  <c r="I43" i="14"/>
  <c r="C43" i="14"/>
  <c r="D43" i="14"/>
  <c r="E59" i="14"/>
  <c r="C45" i="14" l="1"/>
  <c r="B49" i="14"/>
  <c r="E87" i="14" s="1"/>
  <c r="C46" i="14"/>
  <c r="B101" i="14"/>
  <c r="D44" i="14"/>
  <c r="D45" i="14"/>
  <c r="B51" i="14" s="1"/>
  <c r="F56" i="14" l="1"/>
  <c r="F57" i="14"/>
  <c r="F61" i="14"/>
  <c r="F62" i="14"/>
  <c r="C101" i="14"/>
  <c r="E91" i="14"/>
  <c r="E78" i="15" l="1"/>
  <c r="K44" i="14"/>
  <c r="I41" i="14"/>
  <c r="E77" i="15"/>
  <c r="D42" i="14"/>
  <c r="K43" i="14"/>
  <c r="G91" i="14" s="1"/>
  <c r="J43" i="14"/>
  <c r="J13" i="14"/>
  <c r="K13" i="14"/>
  <c r="G87" i="14"/>
  <c r="G89" i="14" l="1"/>
  <c r="D40" i="14"/>
  <c r="K42" i="14" l="1"/>
  <c r="J42" i="14"/>
  <c r="K41" i="14"/>
  <c r="J41" i="14"/>
  <c r="J40" i="14"/>
  <c r="I42" i="14"/>
  <c r="K9" i="14"/>
  <c r="K10" i="14"/>
  <c r="K11" i="14"/>
  <c r="K12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8" i="14"/>
  <c r="J9" i="14"/>
  <c r="J10" i="14"/>
  <c r="J11" i="14"/>
  <c r="J12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8" i="14"/>
  <c r="I39" i="14"/>
  <c r="I40" i="14"/>
  <c r="I38" i="14"/>
  <c r="C78" i="15"/>
  <c r="C39" i="15"/>
  <c r="C40" i="15"/>
  <c r="C41" i="15"/>
  <c r="C51" i="15"/>
  <c r="C52" i="15"/>
  <c r="C53" i="15"/>
  <c r="C54" i="15"/>
  <c r="C55" i="15"/>
  <c r="C56" i="15"/>
  <c r="C57" i="15"/>
  <c r="C66" i="15"/>
  <c r="C71" i="15"/>
  <c r="C77" i="15"/>
  <c r="C38" i="15"/>
  <c r="F76" i="15"/>
  <c r="F77" i="15"/>
  <c r="F78" i="15"/>
  <c r="E76" i="15" l="1"/>
  <c r="F79" i="15"/>
  <c r="C73" i="15"/>
  <c r="C59" i="15"/>
  <c r="C58" i="15"/>
  <c r="C46" i="15"/>
  <c r="C67" i="15"/>
  <c r="C72" i="15"/>
  <c r="C76" i="15"/>
  <c r="C69" i="15"/>
  <c r="C68" i="15"/>
  <c r="C70" i="15"/>
  <c r="C50" i="15"/>
  <c r="C42" i="15"/>
  <c r="C75" i="15"/>
  <c r="C48" i="15"/>
  <c r="C49" i="15"/>
  <c r="C47" i="15"/>
  <c r="C61" i="15"/>
  <c r="C60" i="15"/>
  <c r="D41" i="14"/>
  <c r="C42" i="14"/>
  <c r="C65" i="15"/>
  <c r="C45" i="15"/>
  <c r="C64" i="15"/>
  <c r="C44" i="15"/>
  <c r="C63" i="15"/>
  <c r="C43" i="15"/>
  <c r="C62" i="15"/>
  <c r="C74" i="15"/>
  <c r="F34" i="15"/>
  <c r="F35" i="15"/>
  <c r="F36" i="15"/>
  <c r="F37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6" i="15"/>
  <c r="C6" i="15"/>
  <c r="E5" i="15" l="1"/>
  <c r="E109" i="14"/>
  <c r="I9" i="14" l="1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8" i="14"/>
  <c r="E3" i="15"/>
  <c r="F39" i="15"/>
  <c r="F40" i="15"/>
  <c r="F41" i="15"/>
  <c r="F42" i="15"/>
  <c r="F43" i="15"/>
  <c r="F44" i="15"/>
  <c r="F45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4" i="15"/>
  <c r="F65" i="15"/>
  <c r="F70" i="15"/>
  <c r="F71" i="15"/>
  <c r="F72" i="15"/>
  <c r="F73" i="15"/>
  <c r="F74" i="15"/>
  <c r="F75" i="15"/>
  <c r="F38" i="15"/>
  <c r="F69" i="15" l="1"/>
  <c r="F48" i="15"/>
  <c r="F49" i="15"/>
  <c r="F67" i="15"/>
  <c r="F47" i="15"/>
  <c r="F63" i="15"/>
  <c r="F68" i="15"/>
  <c r="F66" i="15"/>
  <c r="F46" i="15"/>
  <c r="C40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E75" i="15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D39" i="14"/>
  <c r="J151" i="14" s="1"/>
  <c r="D38" i="14"/>
  <c r="I151" i="14" s="1"/>
  <c r="D37" i="14"/>
  <c r="H151" i="14" s="1"/>
  <c r="E74" i="15"/>
  <c r="F106" i="14" l="1"/>
  <c r="M150" i="14"/>
  <c r="F107" i="14"/>
  <c r="C41" i="14"/>
  <c r="B54" i="14" l="1"/>
  <c r="J150" i="14"/>
  <c r="J154" i="14" s="1"/>
  <c r="E71" i="15"/>
  <c r="E73" i="15"/>
  <c r="H150" i="14"/>
  <c r="H154" i="14" s="1"/>
  <c r="I150" i="14" l="1"/>
  <c r="I154" i="14" s="1"/>
  <c r="L150" i="14"/>
  <c r="L154" i="14" s="1"/>
  <c r="E72" i="15"/>
  <c r="D36" i="14"/>
  <c r="E54" i="15"/>
  <c r="G150" i="14" l="1"/>
  <c r="K150" i="14" s="1"/>
  <c r="K153" i="14" s="1"/>
  <c r="G151" i="14"/>
  <c r="D33" i="14"/>
  <c r="D35" i="14"/>
  <c r="D34" i="14"/>
  <c r="E70" i="15"/>
  <c r="E69" i="15"/>
  <c r="E68" i="15"/>
  <c r="G154" i="14" l="1"/>
  <c r="K151" i="14"/>
  <c r="K154" i="14" s="1"/>
  <c r="F139" i="14"/>
  <c r="D32" i="14" l="1"/>
  <c r="E67" i="15"/>
  <c r="F112" i="14" l="1"/>
  <c r="F111" i="14"/>
  <c r="D31" i="14"/>
  <c r="E63" i="15" l="1"/>
  <c r="E64" i="15"/>
  <c r="E65" i="15"/>
  <c r="E66" i="15"/>
  <c r="D27" i="14"/>
  <c r="D28" i="14"/>
  <c r="D29" i="14"/>
  <c r="D30" i="14"/>
  <c r="E61" i="15" l="1"/>
  <c r="E62" i="15"/>
  <c r="E4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5" i="15"/>
  <c r="E56" i="15"/>
  <c r="E57" i="15"/>
  <c r="E58" i="15"/>
  <c r="E59" i="15"/>
  <c r="E60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H143" i="14"/>
  <c r="F141" i="14" l="1"/>
  <c r="H141" i="14" l="1"/>
  <c r="H139" i="14" l="1"/>
  <c r="D8" i="14" l="1"/>
</calcChain>
</file>

<file path=xl/sharedStrings.xml><?xml version="1.0" encoding="utf-8"?>
<sst xmlns="http://schemas.openxmlformats.org/spreadsheetml/2006/main" count="700" uniqueCount="268">
  <si>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</si>
  <si>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</si>
  <si>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</si>
  <si>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</si>
  <si>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</si>
  <si>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</si>
  <si>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</si>
  <si>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</si>
  <si>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Variables in level</t>
  </si>
  <si>
    <t>2017Q1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</si>
  <si>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</si>
  <si>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</si>
  <si>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</si>
  <si>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</si>
  <si>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</si>
  <si>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</si>
  <si>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</si>
  <si>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</si>
  <si>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</si>
  <si>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</si>
  <si>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</si>
  <si>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</si>
  <si>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</si>
  <si>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</si>
  <si>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</si>
  <si>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</si>
  <si>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</si>
  <si>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</si>
  <si>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</si>
  <si>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</si>
  <si>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</si>
  <si>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</si>
  <si>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</si>
  <si>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</si>
  <si>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</si>
  <si>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</si>
  <si>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</si>
  <si>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</si>
  <si>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</si>
  <si>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</si>
  <si>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</si>
  <si>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</si>
  <si>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</si>
  <si>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</si>
  <si>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</si>
  <si>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</si>
  <si>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2017Q2</t>
  </si>
  <si>
    <t>2017Q3</t>
  </si>
  <si>
    <t>2017Q4</t>
  </si>
  <si>
    <t>2018Q1</t>
  </si>
  <si>
    <t>2018Q2</t>
  </si>
  <si>
    <t>cement_production</t>
  </si>
  <si>
    <t xml:space="preserve">cement_imports </t>
  </si>
  <si>
    <t>Total_Cement</t>
  </si>
  <si>
    <t>cpi</t>
  </si>
  <si>
    <t>exp_val</t>
  </si>
  <si>
    <t>exp_vol</t>
  </si>
  <si>
    <t>imp_cif</t>
  </si>
  <si>
    <t>imp_vol</t>
  </si>
  <si>
    <t>m3</t>
  </si>
  <si>
    <t>water</t>
  </si>
  <si>
    <t xml:space="preserve">flour_production </t>
  </si>
  <si>
    <t>Max</t>
  </si>
  <si>
    <t>Min</t>
  </si>
  <si>
    <t>mle1</t>
  </si>
  <si>
    <t>mle2</t>
  </si>
  <si>
    <t>mle3</t>
  </si>
  <si>
    <t>vcm</t>
  </si>
  <si>
    <t>2018Q3</t>
  </si>
  <si>
    <t>Agriculture_exp_val</t>
  </si>
  <si>
    <t>Agriculture_exp_vol</t>
  </si>
  <si>
    <t>cpi_Food</t>
  </si>
  <si>
    <t xml:space="preserve">credit_priv_sector </t>
  </si>
  <si>
    <t xml:space="preserve">electricity_prod </t>
  </si>
  <si>
    <t>Import_petroleum_products</t>
  </si>
  <si>
    <t xml:space="preserve">milk_production </t>
  </si>
  <si>
    <t xml:space="preserve">modern_beer </t>
  </si>
  <si>
    <t>ner_eop_usd</t>
  </si>
  <si>
    <t>nom_CIEA</t>
  </si>
  <si>
    <t xml:space="preserve">ppi_all_rwanda </t>
  </si>
  <si>
    <t>real_CIEA</t>
  </si>
  <si>
    <t xml:space="preserve">rice_production </t>
  </si>
  <si>
    <t xml:space="preserve">soft_drinks </t>
  </si>
  <si>
    <t>turnovers_industry</t>
  </si>
  <si>
    <t>turnovers_services</t>
  </si>
  <si>
    <t>VAT_receipts</t>
  </si>
  <si>
    <t>RGDP_FINAL</t>
  </si>
  <si>
    <t>RGDP_MLE</t>
  </si>
  <si>
    <t>RGDP_BE</t>
  </si>
  <si>
    <t>BE_VCM</t>
  </si>
  <si>
    <t>BE</t>
  </si>
  <si>
    <t>2018Q4</t>
  </si>
  <si>
    <t>RGDP</t>
  </si>
  <si>
    <t>Lower bound</t>
  </si>
  <si>
    <t>Upper bound</t>
  </si>
  <si>
    <t>REAL_GDP_AGR_EXP_VAL_F</t>
  </si>
  <si>
    <t>REAL_GDP_AGR_EXP_VOL_F</t>
  </si>
  <si>
    <t>REAL_GDP_CEMENT_IMP_F</t>
  </si>
  <si>
    <t>REAL_GDP_CEMENT_PROD_F</t>
  </si>
  <si>
    <t>REAL_GDP_CPI_F</t>
  </si>
  <si>
    <t>REAL_GDP_CPI_FOOD_F</t>
  </si>
  <si>
    <t>REAL_GDP_ELEC_PROD_F</t>
  </si>
  <si>
    <t>REAL_GDP_EXP_VAL_F</t>
  </si>
  <si>
    <t>REAL_GDP_EXP_VOL_F</t>
  </si>
  <si>
    <t>REAL_GDP_F</t>
  </si>
  <si>
    <t>REAL_GDP_FLOUR_PROD_F</t>
  </si>
  <si>
    <t>REAL_GDP_IMP_PETR_PROD_F</t>
  </si>
  <si>
    <t>REAL_GDP_IMP_VOL_F</t>
  </si>
  <si>
    <t>REAL_GDP_IMPORT_CIF_F</t>
  </si>
  <si>
    <t>REAL_GDP_M3_F</t>
  </si>
  <si>
    <t>REAL_GDP_MILK_PROD_F</t>
  </si>
  <si>
    <t>REAL_GDP_MODERN_BEER_F</t>
  </si>
  <si>
    <t>REAL_GDP_NER_EOP_F</t>
  </si>
  <si>
    <t>REAL_GDP_NOM_CIEA_F</t>
  </si>
  <si>
    <t>REAL_GDP_PPI_F</t>
  </si>
  <si>
    <t>REAL_GDP_REAL_CIEA_F</t>
  </si>
  <si>
    <t>REAL_GDP_RICE_PROD_F</t>
  </si>
  <si>
    <t>REAL_GDP_SOFT_DRINK_F</t>
  </si>
  <si>
    <t>REAL_GDP_TOTAL_CEMENT_F</t>
  </si>
  <si>
    <t>REAL_GDP_TURNOVER_INDUST_F</t>
  </si>
  <si>
    <t>REAL_GDP_TURNOVER_SERVICE_F</t>
  </si>
  <si>
    <t>REAL_GDP_VAT_RECEIPT_F</t>
  </si>
  <si>
    <t>REAL_GDP_WATER_F</t>
  </si>
  <si>
    <t>2019Q1</t>
  </si>
  <si>
    <t>MLE</t>
  </si>
  <si>
    <t>GDP</t>
  </si>
  <si>
    <t>2019Q2</t>
  </si>
  <si>
    <t>IIP</t>
  </si>
  <si>
    <t>2019Q3</t>
  </si>
  <si>
    <t>2019Q4</t>
  </si>
  <si>
    <t>2020Q1</t>
  </si>
  <si>
    <t>Average level</t>
  </si>
  <si>
    <t>exp_3ts_val</t>
  </si>
  <si>
    <t>exp_3ts_vol</t>
  </si>
  <si>
    <t>Imp_Cap_val</t>
  </si>
  <si>
    <t>Imp_Cap_vol</t>
  </si>
  <si>
    <t>Imp_consumer_val</t>
  </si>
  <si>
    <t>Imp_consumer_vol</t>
  </si>
  <si>
    <t>Imp_Interm_val</t>
  </si>
  <si>
    <t>Imp_Interm_vol</t>
  </si>
  <si>
    <t>M3</t>
  </si>
  <si>
    <t>Turnovers_Construction</t>
  </si>
  <si>
    <t>Turnovers_Financial</t>
  </si>
  <si>
    <t>Turnovers_Hotel</t>
  </si>
  <si>
    <t>Turnovers_Manuf</t>
  </si>
  <si>
    <t>Turnovers_Trade</t>
  </si>
  <si>
    <t>Turnovers_Transport</t>
  </si>
  <si>
    <t>2020Q2</t>
  </si>
  <si>
    <t>2020Q3</t>
  </si>
  <si>
    <t>Q1</t>
  </si>
  <si>
    <t>Q2</t>
  </si>
  <si>
    <t>Q3</t>
  </si>
  <si>
    <t>Q4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</si>
  <si>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</si>
  <si>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</si>
  <si>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</si>
  <si>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</si>
  <si>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</si>
  <si>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</si>
  <si>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</si>
  <si>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</si>
  <si>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</si>
  <si>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</si>
  <si>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</si>
  <si>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</si>
  <si>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</si>
  <si>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MSE Ranks</t>
  </si>
  <si>
    <t>2024Q1</t>
  </si>
  <si>
    <t>NGDP</t>
  </si>
  <si>
    <t xml:space="preserve">GDP Deflator </t>
  </si>
  <si>
    <t>2024Q2</t>
  </si>
  <si>
    <t>RGDP forecast_sa</t>
  </si>
  <si>
    <t>RGDP, % QoQ</t>
  </si>
  <si>
    <t>RGDP, % yoy</t>
  </si>
  <si>
    <t>RGDP MLE</t>
  </si>
  <si>
    <t>RGDP BE</t>
  </si>
  <si>
    <t>MSE</t>
  </si>
  <si>
    <t>2023, yoy %</t>
  </si>
  <si>
    <t>2024, yoy %</t>
  </si>
  <si>
    <t>Mean, %</t>
  </si>
  <si>
    <t>Median, %</t>
  </si>
  <si>
    <t>Max, %</t>
  </si>
  <si>
    <t>Min, %</t>
  </si>
  <si>
    <t>Average, level</t>
  </si>
  <si>
    <t>Nowcast</t>
  </si>
  <si>
    <t>Deviation</t>
  </si>
  <si>
    <t>Actual NISR</t>
  </si>
  <si>
    <t>intMF proj, ann. %</t>
  </si>
  <si>
    <t>RGDP_forecast</t>
  </si>
  <si>
    <t>RGDP_forecast(sa)</t>
  </si>
  <si>
    <t>RGDP forecast_su</t>
  </si>
  <si>
    <t>RGDP (actual &amp; forecast)</t>
  </si>
  <si>
    <t>2024Q3</t>
  </si>
  <si>
    <t>Forecast</t>
  </si>
  <si>
    <t>RMSE</t>
  </si>
  <si>
    <t>MAE</t>
  </si>
  <si>
    <t>MAPE</t>
  </si>
  <si>
    <t>SMAPE</t>
  </si>
  <si>
    <t>Theil U1</t>
  </si>
  <si>
    <t>Theil U2</t>
  </si>
  <si>
    <t>REAL_GDP_CEM_PROD_F</t>
  </si>
  <si>
    <t>REAL_GDP_CRED_PRIV_SEC_F</t>
  </si>
  <si>
    <t>REAL_GDP_EXP_3TS_VAL_F</t>
  </si>
  <si>
    <t>REAL_GDP_EXP_3TS_VOL_F</t>
  </si>
  <si>
    <t>REAL_GDP_IIP_F</t>
  </si>
  <si>
    <t>REAL_GDP_IMP_CAP_VAL_F</t>
  </si>
  <si>
    <t>REAL_GDP_IMP_CAP_VOL_F</t>
  </si>
  <si>
    <t>REAL_GDP_IMP_CEMENT_F</t>
  </si>
  <si>
    <t>REAL_GDP_IMP_CIF_F</t>
  </si>
  <si>
    <t>REAL_GDP_IMP_CONS_VAL_F</t>
  </si>
  <si>
    <t>REAL_GDP_IMP_CONS_VOL_F</t>
  </si>
  <si>
    <t>REAL_GDP_IMP_INTERM_VAL_F</t>
  </si>
  <si>
    <t>REAL_GDP_IMP_INTERM_VOL_F</t>
  </si>
  <si>
    <t>REAL_GDP_IMP_PETR_PDTS_F</t>
  </si>
  <si>
    <t>REAL_GDP_NER_EOP_USD_F</t>
  </si>
  <si>
    <t>REAL_GDP_PPI_ALL_RWA_F</t>
  </si>
  <si>
    <t>REAL_GDP_TURNOV_CONS_F</t>
  </si>
  <si>
    <t>REAL_GDP_TURNOV_FINANC_F</t>
  </si>
  <si>
    <t>REAL_GDP_TURNOV_HOTEL_F</t>
  </si>
  <si>
    <t>REAL_GDP_TURNOV_INDUST_F</t>
  </si>
  <si>
    <t>REAL_GDP_TURNOV_MANUF_F</t>
  </si>
  <si>
    <t>REAL_GDP_TURNOV_SERV_F</t>
  </si>
  <si>
    <t>REAL_GDP_TURNOV_TRADE_F</t>
  </si>
  <si>
    <t>REAL_GDP_TURNOV_TRANSP_F</t>
  </si>
  <si>
    <t>REAL_GDP_VAT_RECEIPTS_F</t>
  </si>
  <si>
    <t>MSE ranks</t>
  </si>
  <si>
    <t>RGDP_forecast (not sa), yoy %</t>
  </si>
  <si>
    <t>RGDP_forecast(sa), yoy %</t>
  </si>
  <si>
    <t>RGDP_forecast(sa), qoq % ann.</t>
  </si>
  <si>
    <t>March</t>
  </si>
  <si>
    <t>Q1 (Jan - March)</t>
  </si>
  <si>
    <t>Real CIEA</t>
  </si>
  <si>
    <t>Total turnovers (Real)</t>
  </si>
  <si>
    <t>Industry</t>
  </si>
  <si>
    <t>Services</t>
  </si>
  <si>
    <t>Total turnovers (Nominal)</t>
  </si>
  <si>
    <t>GDP MLE %</t>
  </si>
  <si>
    <t>GDP BE %</t>
  </si>
  <si>
    <t>RGDP forecast_su %</t>
  </si>
  <si>
    <t>GDP final</t>
  </si>
  <si>
    <t>GDP final s.a</t>
  </si>
  <si>
    <t>2024Q4</t>
  </si>
  <si>
    <t>2025Q1</t>
  </si>
  <si>
    <t>Simple mean</t>
  </si>
  <si>
    <t>Trimmed mean</t>
  </si>
  <si>
    <t>Simple median</t>
  </si>
  <si>
    <t>Least-squares</t>
  </si>
  <si>
    <t xml:space="preserve"> NA</t>
  </si>
  <si>
    <t>Mean square error</t>
  </si>
  <si>
    <t>2025Q2</t>
  </si>
  <si>
    <t>2025Q2- Variables in log max lag 4</t>
  </si>
  <si>
    <t>2025Q1- Variables in log max lag 4</t>
  </si>
  <si>
    <t>2025 Q2</t>
  </si>
  <si>
    <t>2025Q3</t>
  </si>
  <si>
    <t>2025 Q3</t>
  </si>
  <si>
    <t>Q2(April-June)-h</t>
  </si>
  <si>
    <t>Q3 (July - September)</t>
  </si>
  <si>
    <t>Q2(April-June)</t>
  </si>
  <si>
    <t>Real GDP_nowcast</t>
  </si>
  <si>
    <t>Norminal_nrebased</t>
  </si>
  <si>
    <t>non-rebased FY 23/24</t>
  </si>
  <si>
    <t>rebased FY 23/25</t>
  </si>
  <si>
    <t>Rebased 24/25</t>
  </si>
  <si>
    <t>Inflation</t>
  </si>
  <si>
    <t>Qo CPI (yoy)</t>
  </si>
  <si>
    <t>DF rebased(%yoy)</t>
  </si>
  <si>
    <t>DF_nrebased</t>
  </si>
  <si>
    <t>FY nrebased 24/24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</si>
</sst>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.0%"/>
    <numFmt numFmtId="167" formatCode="#,##0.0"/>
    <numFmt numFmtId="168" formatCode="_(* #,##0.0_);_(* \(#,##0.0\);_(* &quot;-&quot;??_);_(@_)"/>
    <numFmt numFmtId="169" formatCode="_(* #,##0_);_(* \(#,##0\);_(* &quot;-&quot;??_);_(@_)"/>
    <numFmt numFmtId="170" formatCode="0.0"/>
    <numFmt numFmtId="171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11"/>
      <color theme="1"/>
      <name val="Calibri Light"/>
      <family val="2"/>
      <scheme val="major"/>
    </font>
    <font>
      <b/>
      <sz val="11"/>
      <color theme="1"/>
      <name val="Calibri"/>
      <family val="2"/>
    </font>
    <font>
      <b/>
      <sz val="10"/>
      <color theme="4" tint="-0.499984740745262"/>
      <name val="Bookman Old Style"/>
      <family val="1"/>
    </font>
    <font>
      <b/>
      <sz val="10"/>
      <name val="Calibri Light"/>
      <family val="1"/>
      <scheme val="major"/>
    </font>
    <font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</fills>
  <borders count="27">
    <border>
      <left/>
      <right/>
      <top/>
      <bottom/>
      <diagonal/>
    </border>
    <border>
      <left style="mediumDashDot">
        <color auto="1"/>
      </left>
      <right/>
      <top style="mediumDashDot">
        <color auto="1"/>
      </top>
      <bottom/>
      <diagonal/>
    </border>
    <border>
      <left/>
      <right/>
      <top style="mediumDashDot">
        <color auto="1"/>
      </top>
      <bottom/>
      <diagonal/>
    </border>
    <border>
      <left/>
      <right style="mediumDashDot">
        <color auto="1"/>
      </right>
      <top style="mediumDashDot">
        <color auto="1"/>
      </top>
      <bottom/>
      <diagonal/>
    </border>
    <border>
      <left style="mediumDashDot">
        <color auto="1"/>
      </left>
      <right/>
      <top/>
      <bottom/>
      <diagonal/>
    </border>
    <border>
      <left/>
      <right style="mediumDashDot">
        <color auto="1"/>
      </right>
      <top/>
      <bottom/>
      <diagonal/>
    </border>
    <border>
      <left style="mediumDashDot">
        <color auto="1"/>
      </left>
      <right/>
      <top/>
      <bottom style="mediumDashDot">
        <color auto="1"/>
      </bottom>
      <diagonal/>
    </border>
    <border>
      <left/>
      <right/>
      <top/>
      <bottom style="mediumDashDot">
        <color auto="1"/>
      </bottom>
      <diagonal/>
    </border>
    <border>
      <left/>
      <right style="mediumDashDot">
        <color auto="1"/>
      </right>
      <top/>
      <bottom style="mediumDashDot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rgb="FF000000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46">
    <xf numFmtId="0" fontId="0" fillId="0" borderId="0" xfId="0"/>
    <xf numFmtId="166" fontId="0" fillId="0" borderId="0" xfId="1" applyNumberFormat="1" applyFont="1"/>
    <xf numFmtId="166" fontId="0" fillId="0" borderId="0" xfId="0" applyNumberFormat="1"/>
    <xf numFmtId="1" fontId="0" fillId="0" borderId="0" xfId="0" applyNumberFormat="1"/>
    <xf numFmtId="10" fontId="0" fillId="0" borderId="0" xfId="0" applyNumberFormat="1"/>
    <xf numFmtId="0" fontId="0" fillId="3" borderId="0" xfId="0" applyFill="1"/>
    <xf numFmtId="166" fontId="2" fillId="2" borderId="0" xfId="0" applyNumberFormat="1" applyFont="1" applyFill="1"/>
    <xf numFmtId="166" fontId="2" fillId="2" borderId="0" xfId="1" applyNumberFormat="1" applyFont="1" applyFill="1"/>
    <xf numFmtId="0" fontId="2" fillId="0" borderId="0" xfId="0" applyFont="1"/>
    <xf numFmtId="2" fontId="0" fillId="0" borderId="0" xfId="0" applyNumberFormat="1"/>
    <xf numFmtId="3" fontId="0" fillId="0" borderId="0" xfId="0" applyNumberFormat="1"/>
    <xf numFmtId="43" fontId="0" fillId="0" borderId="0" xfId="0" applyNumberFormat="1" applyAlignment="1">
      <alignment wrapText="1"/>
    </xf>
    <xf numFmtId="1" fontId="5" fillId="0" borderId="0" xfId="0" applyNumberFormat="1" applyFont="1"/>
    <xf numFmtId="10" fontId="5" fillId="0" borderId="0" xfId="1" applyNumberFormat="1" applyFont="1"/>
    <xf numFmtId="0" fontId="5" fillId="0" borderId="0" xfId="0" applyFont="1"/>
    <xf numFmtId="167" fontId="0" fillId="0" borderId="0" xfId="0" applyNumberFormat="1"/>
    <xf numFmtId="166" fontId="2" fillId="0" borderId="0" xfId="1" applyNumberFormat="1" applyFont="1" applyFill="1"/>
    <xf numFmtId="3" fontId="1" fillId="0" borderId="0" xfId="2" applyNumberFormat="1" applyFont="1"/>
    <xf numFmtId="3" fontId="3" fillId="0" borderId="0" xfId="2" applyNumberFormat="1" applyFont="1"/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left" wrapText="1"/>
    </xf>
    <xf numFmtId="0" fontId="0" fillId="0" borderId="0" xfId="0" applyAlignment="1">
      <alignment wrapText="1"/>
    </xf>
    <xf numFmtId="168" fontId="0" fillId="0" borderId="0" xfId="0" applyNumberFormat="1" applyAlignment="1">
      <alignment wrapText="1"/>
    </xf>
    <xf numFmtId="3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68" fontId="3" fillId="0" borderId="0" xfId="2" applyNumberFormat="1" applyFont="1" applyFill="1" applyBorder="1" applyAlignment="1">
      <alignment wrapText="1"/>
    </xf>
    <xf numFmtId="3" fontId="2" fillId="2" borderId="0" xfId="0" applyNumberFormat="1" applyFont="1" applyFill="1"/>
    <xf numFmtId="167" fontId="4" fillId="0" borderId="0" xfId="0" applyNumberFormat="1" applyFont="1"/>
    <xf numFmtId="3" fontId="4" fillId="0" borderId="0" xfId="0" applyNumberFormat="1" applyFont="1"/>
    <xf numFmtId="3" fontId="3" fillId="0" borderId="0" xfId="3" applyNumberFormat="1" applyFont="1" applyFill="1" applyAlignment="1">
      <alignment wrapText="1"/>
    </xf>
    <xf numFmtId="0" fontId="7" fillId="4" borderId="0" xfId="0" applyFont="1" applyFill="1"/>
    <xf numFmtId="0" fontId="6" fillId="4" borderId="0" xfId="0" applyFont="1" applyFill="1"/>
    <xf numFmtId="166" fontId="7" fillId="4" borderId="0" xfId="1" applyNumberFormat="1" applyFont="1" applyFill="1" applyBorder="1"/>
    <xf numFmtId="169" fontId="6" fillId="4" borderId="0" xfId="2" applyNumberFormat="1" applyFont="1" applyFill="1" applyBorder="1"/>
    <xf numFmtId="169" fontId="0" fillId="0" borderId="0" xfId="2" applyNumberFormat="1" applyFont="1"/>
    <xf numFmtId="167" fontId="3" fillId="0" borderId="0" xfId="3" applyNumberFormat="1" applyFont="1" applyFill="1" applyAlignment="1">
      <alignment wrapText="1"/>
    </xf>
    <xf numFmtId="164" fontId="3" fillId="0" borderId="0" xfId="4" applyFont="1" applyFill="1" applyAlignment="1">
      <alignment wrapText="1"/>
    </xf>
    <xf numFmtId="164" fontId="0" fillId="0" borderId="0" xfId="4" applyFont="1"/>
    <xf numFmtId="14" fontId="0" fillId="0" borderId="1" xfId="0" applyNumberFormat="1" applyBorder="1"/>
    <xf numFmtId="3" fontId="3" fillId="0" borderId="2" xfId="2" applyNumberFormat="1" applyFont="1" applyBorder="1"/>
    <xf numFmtId="0" fontId="0" fillId="0" borderId="2" xfId="0" applyBorder="1"/>
    <xf numFmtId="0" fontId="0" fillId="0" borderId="3" xfId="0" applyBorder="1"/>
    <xf numFmtId="14" fontId="0" fillId="0" borderId="4" xfId="0" applyNumberFormat="1" applyBorder="1"/>
    <xf numFmtId="3" fontId="3" fillId="0" borderId="0" xfId="2" applyNumberFormat="1" applyFont="1" applyBorder="1"/>
    <xf numFmtId="10" fontId="5" fillId="0" borderId="0" xfId="1" applyNumberFormat="1" applyFont="1" applyBorder="1"/>
    <xf numFmtId="0" fontId="0" fillId="0" borderId="5" xfId="0" applyBorder="1"/>
    <xf numFmtId="14" fontId="3" fillId="0" borderId="4" xfId="0" applyNumberFormat="1" applyFont="1" applyBorder="1"/>
    <xf numFmtId="166" fontId="0" fillId="0" borderId="5" xfId="1" applyNumberFormat="1" applyFont="1" applyBorder="1"/>
    <xf numFmtId="17" fontId="3" fillId="0" borderId="4" xfId="0" applyNumberFormat="1" applyFont="1" applyBorder="1"/>
    <xf numFmtId="3" fontId="3" fillId="0" borderId="0" xfId="3" applyNumberFormat="1" applyFont="1" applyFill="1" applyBorder="1" applyAlignment="1">
      <alignment wrapText="1"/>
    </xf>
    <xf numFmtId="3" fontId="1" fillId="0" borderId="0" xfId="2" applyNumberFormat="1" applyFont="1" applyBorder="1"/>
    <xf numFmtId="9" fontId="0" fillId="0" borderId="5" xfId="1" applyFont="1" applyBorder="1"/>
    <xf numFmtId="0" fontId="9" fillId="0" borderId="0" xfId="0" applyFont="1"/>
    <xf numFmtId="169" fontId="0" fillId="3" borderId="0" xfId="2" applyNumberFormat="1" applyFont="1" applyFill="1"/>
    <xf numFmtId="9" fontId="10" fillId="2" borderId="0" xfId="1" applyFont="1" applyFill="1"/>
    <xf numFmtId="166" fontId="2" fillId="2" borderId="0" xfId="4" applyNumberFormat="1" applyFont="1" applyFill="1"/>
    <xf numFmtId="166" fontId="9" fillId="0" borderId="0" xfId="0" applyNumberFormat="1" applyFont="1"/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3" fontId="3" fillId="3" borderId="0" xfId="3" applyNumberFormat="1" applyFont="1" applyFill="1" applyAlignment="1">
      <alignment wrapText="1"/>
    </xf>
    <xf numFmtId="3" fontId="2" fillId="0" borderId="0" xfId="0" applyNumberFormat="1" applyFont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10" fontId="12" fillId="6" borderId="15" xfId="0" applyNumberFormat="1" applyFont="1" applyFill="1" applyBorder="1" applyAlignment="1">
      <alignment horizontal="center" vertical="center"/>
    </xf>
    <xf numFmtId="10" fontId="12" fillId="6" borderId="16" xfId="0" applyNumberFormat="1" applyFont="1" applyFill="1" applyBorder="1" applyAlignment="1">
      <alignment horizontal="center" vertical="center"/>
    </xf>
    <xf numFmtId="10" fontId="12" fillId="6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left" vertical="center"/>
    </xf>
    <xf numFmtId="10" fontId="11" fillId="6" borderId="15" xfId="0" applyNumberFormat="1" applyFont="1" applyFill="1" applyBorder="1" applyAlignment="1">
      <alignment horizontal="center" vertical="center"/>
    </xf>
    <xf numFmtId="10" fontId="11" fillId="6" borderId="16" xfId="0" applyNumberFormat="1" applyFont="1" applyFill="1" applyBorder="1" applyAlignment="1">
      <alignment horizontal="center" vertical="center"/>
    </xf>
    <xf numFmtId="10" fontId="11" fillId="6" borderId="0" xfId="0" applyNumberFormat="1" applyFont="1" applyFill="1" applyAlignment="1">
      <alignment horizontal="center" vertical="center"/>
    </xf>
    <xf numFmtId="9" fontId="12" fillId="6" borderId="15" xfId="0" applyNumberFormat="1" applyFont="1" applyFill="1" applyBorder="1" applyAlignment="1">
      <alignment horizontal="center" vertical="center"/>
    </xf>
    <xf numFmtId="9" fontId="12" fillId="6" borderId="16" xfId="0" applyNumberFormat="1" applyFont="1" applyFill="1" applyBorder="1" applyAlignment="1">
      <alignment horizontal="center" vertical="center"/>
    </xf>
    <xf numFmtId="9" fontId="12" fillId="6" borderId="0" xfId="0" applyNumberFormat="1" applyFont="1" applyFill="1" applyAlignment="1">
      <alignment horizontal="center" vertical="center"/>
    </xf>
    <xf numFmtId="0" fontId="11" fillId="6" borderId="14" xfId="0" applyFont="1" applyFill="1" applyBorder="1" applyAlignment="1">
      <alignment horizontal="left" vertical="center"/>
    </xf>
    <xf numFmtId="10" fontId="11" fillId="6" borderId="12" xfId="0" applyNumberFormat="1" applyFont="1" applyFill="1" applyBorder="1" applyAlignment="1">
      <alignment horizontal="center" vertical="center"/>
    </xf>
    <xf numFmtId="10" fontId="11" fillId="6" borderId="13" xfId="0" applyNumberFormat="1" applyFont="1" applyFill="1" applyBorder="1" applyAlignment="1">
      <alignment horizontal="center" vertical="center"/>
    </xf>
    <xf numFmtId="10" fontId="11" fillId="6" borderId="14" xfId="0" applyNumberFormat="1" applyFont="1" applyFill="1" applyBorder="1" applyAlignment="1">
      <alignment horizontal="center" vertical="center"/>
    </xf>
    <xf numFmtId="9" fontId="0" fillId="0" borderId="0" xfId="1" applyFont="1"/>
    <xf numFmtId="165" fontId="0" fillId="0" borderId="0" xfId="0" applyNumberFormat="1"/>
    <xf numFmtId="17" fontId="3" fillId="7" borderId="4" xfId="0" applyNumberFormat="1" applyFont="1" applyFill="1" applyBorder="1"/>
    <xf numFmtId="3" fontId="3" fillId="7" borderId="0" xfId="2" applyNumberFormat="1" applyFont="1" applyFill="1" applyBorder="1"/>
    <xf numFmtId="10" fontId="5" fillId="7" borderId="0" xfId="1" applyNumberFormat="1" applyFont="1" applyFill="1" applyBorder="1"/>
    <xf numFmtId="166" fontId="0" fillId="7" borderId="5" xfId="1" applyNumberFormat="1" applyFont="1" applyFill="1" applyBorder="1"/>
    <xf numFmtId="164" fontId="0" fillId="7" borderId="0" xfId="4" applyFont="1" applyFill="1"/>
    <xf numFmtId="166" fontId="0" fillId="7" borderId="0" xfId="1" applyNumberFormat="1" applyFont="1" applyFill="1"/>
    <xf numFmtId="9" fontId="0" fillId="7" borderId="0" xfId="1" applyFont="1" applyFill="1"/>
    <xf numFmtId="0" fontId="0" fillId="7" borderId="0" xfId="0" applyFill="1"/>
    <xf numFmtId="17" fontId="3" fillId="7" borderId="6" xfId="0" applyNumberFormat="1" applyFont="1" applyFill="1" applyBorder="1"/>
    <xf numFmtId="3" fontId="3" fillId="7" borderId="7" xfId="2" applyNumberFormat="1" applyFont="1" applyFill="1" applyBorder="1"/>
    <xf numFmtId="10" fontId="5" fillId="7" borderId="7" xfId="1" applyNumberFormat="1" applyFont="1" applyFill="1" applyBorder="1"/>
    <xf numFmtId="166" fontId="0" fillId="7" borderId="8" xfId="1" applyNumberFormat="1" applyFont="1" applyFill="1" applyBorder="1"/>
    <xf numFmtId="17" fontId="3" fillId="7" borderId="0" xfId="0" applyNumberFormat="1" applyFont="1" applyFill="1"/>
    <xf numFmtId="164" fontId="3" fillId="7" borderId="0" xfId="4" applyFont="1" applyFill="1"/>
    <xf numFmtId="10" fontId="3" fillId="7" borderId="0" xfId="1" applyNumberFormat="1" applyFont="1" applyFill="1"/>
    <xf numFmtId="166" fontId="3" fillId="7" borderId="0" xfId="1" applyNumberFormat="1" applyFont="1" applyFill="1"/>
    <xf numFmtId="170" fontId="3" fillId="7" borderId="0" xfId="0" applyNumberFormat="1" applyFont="1" applyFill="1"/>
    <xf numFmtId="9" fontId="3" fillId="7" borderId="0" xfId="1" applyFont="1" applyFill="1"/>
    <xf numFmtId="0" fontId="3" fillId="7" borderId="0" xfId="0" applyFont="1" applyFill="1"/>
    <xf numFmtId="17" fontId="5" fillId="7" borderId="0" xfId="0" applyNumberFormat="1" applyFont="1" applyFill="1"/>
    <xf numFmtId="164" fontId="5" fillId="7" borderId="0" xfId="4" applyFont="1" applyFill="1"/>
    <xf numFmtId="10" fontId="5" fillId="7" borderId="0" xfId="1" applyNumberFormat="1" applyFont="1" applyFill="1"/>
    <xf numFmtId="166" fontId="5" fillId="7" borderId="0" xfId="1" applyNumberFormat="1" applyFont="1" applyFill="1"/>
    <xf numFmtId="3" fontId="5" fillId="7" borderId="0" xfId="2" applyNumberFormat="1" applyFont="1" applyFill="1"/>
    <xf numFmtId="0" fontId="5" fillId="7" borderId="0" xfId="0" applyFont="1" applyFill="1"/>
    <xf numFmtId="166" fontId="9" fillId="3" borderId="0" xfId="0" applyNumberFormat="1" applyFont="1" applyFill="1"/>
    <xf numFmtId="0" fontId="9" fillId="0" borderId="0" xfId="0" applyFont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9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71" fontId="13" fillId="0" borderId="0" xfId="0" applyNumberFormat="1" applyFont="1"/>
    <xf numFmtId="3" fontId="5" fillId="0" borderId="0" xfId="3" applyNumberFormat="1" applyFont="1" applyFill="1" applyAlignment="1">
      <alignment wrapText="1"/>
    </xf>
    <xf numFmtId="166" fontId="14" fillId="4" borderId="0" xfId="1" applyNumberFormat="1" applyFont="1" applyFill="1"/>
    <xf numFmtId="10" fontId="11" fillId="6" borderId="0" xfId="0" applyNumberFormat="1" applyFont="1" applyFill="1" applyAlignment="1">
      <alignment horizontal="left" vertical="center"/>
    </xf>
    <xf numFmtId="0" fontId="0" fillId="0" borderId="16" xfId="0" applyBorder="1"/>
    <xf numFmtId="10" fontId="11" fillId="6" borderId="22" xfId="0" applyNumberFormat="1" applyFont="1" applyFill="1" applyBorder="1" applyAlignment="1">
      <alignment horizontal="left" vertical="center"/>
    </xf>
    <xf numFmtId="10" fontId="12" fillId="6" borderId="0" xfId="0" applyNumberFormat="1" applyFont="1" applyFill="1" applyAlignment="1">
      <alignment horizontal="left" vertical="center"/>
    </xf>
    <xf numFmtId="0" fontId="15" fillId="8" borderId="20" xfId="0" applyFont="1" applyFill="1" applyBorder="1" applyAlignment="1">
      <alignment horizontal="center" vertical="center"/>
    </xf>
    <xf numFmtId="0" fontId="15" fillId="8" borderId="25" xfId="0" applyFont="1" applyFill="1" applyBorder="1" applyAlignment="1">
      <alignment horizontal="center" vertical="center"/>
    </xf>
    <xf numFmtId="166" fontId="12" fillId="8" borderId="21" xfId="0" applyNumberFormat="1" applyFont="1" applyFill="1" applyBorder="1" applyAlignment="1">
      <alignment horizontal="center" vertical="center"/>
    </xf>
    <xf numFmtId="166" fontId="12" fillId="8" borderId="16" xfId="0" applyNumberFormat="1" applyFont="1" applyFill="1" applyBorder="1" applyAlignment="1">
      <alignment horizontal="center" vertical="center"/>
    </xf>
    <xf numFmtId="166" fontId="12" fillId="8" borderId="22" xfId="0" applyNumberFormat="1" applyFont="1" applyFill="1" applyBorder="1" applyAlignment="1">
      <alignment horizontal="center" vertical="center"/>
    </xf>
    <xf numFmtId="166" fontId="12" fillId="8" borderId="1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9" fontId="5" fillId="7" borderId="0" xfId="1" applyNumberFormat="1" applyFont="1" applyFill="1"/>
    <xf numFmtId="3" fontId="16" fillId="9" borderId="0" xfId="1" applyNumberFormat="1" applyFont="1" applyFill="1" applyBorder="1" applyAlignment="1"/>
    <xf numFmtId="9" fontId="0" fillId="0" borderId="0" xfId="0" applyNumberFormat="1"/>
    <xf numFmtId="170" fontId="0" fillId="0" borderId="0" xfId="0" applyNumberFormat="1"/>
    <xf numFmtId="169" fontId="0" fillId="0" borderId="0" xfId="0" applyNumberFormat="1"/>
    <xf numFmtId="3" fontId="17" fillId="3" borderId="0" xfId="0" applyNumberFormat="1" applyFont="1" applyFill="1"/>
  </cellXfs>
  <cellStyles count="5">
    <cellStyle name="Comma" xfId="2" builtinId="3"/>
    <cellStyle name="Comma [0]" xfId="4" builtinId="6"/>
    <cellStyle name="Comma 10" xfId="3" xr:uid="{00000000-0005-0000-0000-000001000000}"/>
    <cellStyle name="Normal" xfId="0" builtinId="0"/>
    <cellStyle name="Percent" xfId="1" builtinId="5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 sz="1600">
                <a:latin typeface="Bahnschrift" panose="020B0502040204020203" pitchFamily="34" charset="0"/>
              </a:rPr>
              <a:t>GDP </a:t>
            </a:r>
            <a:r>
              <a:rPr lang="en-US" sz="1600" baseline="0">
                <a:latin typeface="Bahnschrift" panose="020B0502040204020203" pitchFamily="34" charset="0"/>
              </a:rPr>
              <a:t>2025Q2</a:t>
            </a:r>
            <a:endParaRPr lang="en-US" sz="1600">
              <a:latin typeface="Bahnschrift" panose="020B0502040204020203" pitchFamily="34" charset="0"/>
            </a:endParaRPr>
          </a:p>
        </c:rich>
      </c:tx>
      <c:layout>
        <c:manualLayout>
          <c:xMode val="edge"/>
          <c:yMode val="edge"/>
          <c:x val="0.30940843012257158"/>
          <c:y val="1.97595916351062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501359771806587"/>
          <c:y val="0.12354684141303529"/>
          <c:w val="0.6116695679324059"/>
          <c:h val="0.769909324248376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'2025Q1&amp;Q2'!$B$48:$AW$48</c:f>
              <c:strCache>
                <c:ptCount val="48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3">
                  <c:v>Agriculture_exp_val</c:v>
                </c:pt>
                <c:pt idx="4">
                  <c:v>Agriculture_exp_vol</c:v>
                </c:pt>
                <c:pt idx="5">
                  <c:v>cement_imports </c:v>
                </c:pt>
                <c:pt idx="6">
                  <c:v>cement_production</c:v>
                </c:pt>
                <c:pt idx="7">
                  <c:v>cpi</c:v>
                </c:pt>
                <c:pt idx="8">
                  <c:v>cpi_Food</c:v>
                </c:pt>
                <c:pt idx="9">
                  <c:v>credit_priv_sector </c:v>
                </c:pt>
                <c:pt idx="10">
                  <c:v>electricity_prod </c:v>
                </c:pt>
                <c:pt idx="11">
                  <c:v>exp_3ts_val</c:v>
                </c:pt>
                <c:pt idx="12">
                  <c:v>exp_3ts_vol</c:v>
                </c:pt>
                <c:pt idx="13">
                  <c:v>exp_val</c:v>
                </c:pt>
                <c:pt idx="14">
                  <c:v>exp_vol</c:v>
                </c:pt>
                <c:pt idx="15">
                  <c:v>flour_production </c:v>
                </c:pt>
                <c:pt idx="16">
                  <c:v>IIP</c:v>
                </c:pt>
                <c:pt idx="17">
                  <c:v>Imp_Cap_val</c:v>
                </c:pt>
                <c:pt idx="18">
                  <c:v>Imp_Cap_vol</c:v>
                </c:pt>
                <c:pt idx="19">
                  <c:v>imp_cif</c:v>
                </c:pt>
                <c:pt idx="20">
                  <c:v>Imp_consumer_val</c:v>
                </c:pt>
                <c:pt idx="21">
                  <c:v>Imp_consumer_vol</c:v>
                </c:pt>
                <c:pt idx="22">
                  <c:v>Imp_Interm_val</c:v>
                </c:pt>
                <c:pt idx="23">
                  <c:v>Imp_Interm_vol</c:v>
                </c:pt>
                <c:pt idx="24">
                  <c:v>Import_petroleum_products</c:v>
                </c:pt>
                <c:pt idx="25">
                  <c:v>imp_vol</c:v>
                </c:pt>
                <c:pt idx="26">
                  <c:v>M3</c:v>
                </c:pt>
                <c:pt idx="27">
                  <c:v>mle1</c:v>
                </c:pt>
                <c:pt idx="28">
                  <c:v>mle2</c:v>
                </c:pt>
                <c:pt idx="29">
                  <c:v>mle3</c:v>
                </c:pt>
                <c:pt idx="30">
                  <c:v>modern_beer </c:v>
                </c:pt>
                <c:pt idx="31">
                  <c:v>ner_eop_usd</c:v>
                </c:pt>
                <c:pt idx="32">
                  <c:v>nom_CIEA</c:v>
                </c:pt>
                <c:pt idx="33">
                  <c:v>ppi_all_rwanda </c:v>
                </c:pt>
                <c:pt idx="34">
                  <c:v>real_CIEA</c:v>
                </c:pt>
                <c:pt idx="35">
                  <c:v>rice_production </c:v>
                </c:pt>
                <c:pt idx="36">
                  <c:v>soft_drinks </c:v>
                </c:pt>
                <c:pt idx="37">
                  <c:v>Total_Cement</c:v>
                </c:pt>
                <c:pt idx="38">
                  <c:v>Turnovers_Construction</c:v>
                </c:pt>
                <c:pt idx="39">
                  <c:v>Turnovers_Financial</c:v>
                </c:pt>
                <c:pt idx="40">
                  <c:v>Turnovers_Hotel</c:v>
                </c:pt>
                <c:pt idx="41">
                  <c:v>turnovers_industry</c:v>
                </c:pt>
                <c:pt idx="42">
                  <c:v>Turnovers_Manuf</c:v>
                </c:pt>
                <c:pt idx="43">
                  <c:v>turnovers_services</c:v>
                </c:pt>
                <c:pt idx="44">
                  <c:v>Turnovers_Trade</c:v>
                </c:pt>
                <c:pt idx="45">
                  <c:v>Turnovers_Transport</c:v>
                </c:pt>
                <c:pt idx="46">
                  <c:v>VAT_receipts</c:v>
                </c:pt>
                <c:pt idx="47">
                  <c:v>water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R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'2025Q1&amp;Q2'!$B$48:$AW$48</c15:sqref>
                  </c15:fullRef>
                </c:ext>
              </c:extLst>
              <c:f>('2025Q1&amp;Q2'!$B$48:$D$48,'2025Q1&amp;Q2'!$G$48,'2025Q1&amp;Q2'!$O$48,'2025Q1&amp;Q2'!$T$48,'2025Q1&amp;Q2'!$AC$48:$AE$48,'2025Q1&amp;Q2'!$AH$48,'2025Q1&amp;Q2'!$AO$48,'2025Q1&amp;Q2'!$AQ$48,'2025Q1&amp;Q2'!$AS$48:$AV$48)</c:f>
              <c:strCache>
                <c:ptCount val="16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3">
                  <c:v>cement_imports </c:v>
                </c:pt>
                <c:pt idx="4">
                  <c:v>exp_val</c:v>
                </c:pt>
                <c:pt idx="5">
                  <c:v>Imp_Cap_vol</c:v>
                </c:pt>
                <c:pt idx="6">
                  <c:v>mle1</c:v>
                </c:pt>
                <c:pt idx="7">
                  <c:v>mle2</c:v>
                </c:pt>
                <c:pt idx="8">
                  <c:v>mle3</c:v>
                </c:pt>
                <c:pt idx="9">
                  <c:v>nom_CIEA</c:v>
                </c:pt>
                <c:pt idx="10">
                  <c:v>Turnovers_Financial</c:v>
                </c:pt>
                <c:pt idx="11">
                  <c:v>turnovers_industry</c:v>
                </c:pt>
                <c:pt idx="12">
                  <c:v>turnovers_services</c:v>
                </c:pt>
                <c:pt idx="13">
                  <c:v>Turnovers_Trade</c:v>
                </c:pt>
                <c:pt idx="14">
                  <c:v>Turnovers_Transport</c:v>
                </c:pt>
                <c:pt idx="15">
                  <c:v>VAT_receipts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'2025Q1&amp;Q2'!$B$51:$AW$51</c15:sqref>
                  </c15:fullRef>
                </c:ext>
              </c:extLst>
              <c:f>('2025Q1&amp;Q2'!$B$51:$D$51,'2025Q1&amp;Q2'!$G$51,'2025Q1&amp;Q2'!$O$51,'2025Q1&amp;Q2'!$T$51,'2025Q1&amp;Q2'!$AC$51:$AE$51,'2025Q1&amp;Q2'!$AH$51,'2025Q1&amp;Q2'!$AO$51,'2025Q1&amp;Q2'!$AQ$51,'2025Q1&amp;Q2'!$AS$51:$AV$51)</c:f>
              <c:numCache>
                <c:formatCode>0.0%</c:formatCode>
                <c:ptCount val="16"/>
                <c:pt idx="0">
                  <c:v>8.4477890599410355E-2</c:v>
                </c:pt>
                <c:pt idx="1">
                  <c:v>9.4026858827382931E-2</c:v>
                </c:pt>
                <c:pt idx="2">
                  <c:v>8.0699312151981673E-2</c:v>
                </c:pt>
                <c:pt idx="3">
                  <c:v>9.1677366524729909E-2</c:v>
                </c:pt>
                <c:pt idx="4">
                  <c:v>5.3098591549295859E-2</c:v>
                </c:pt>
                <c:pt idx="5">
                  <c:v>0.10252866033409758</c:v>
                </c:pt>
                <c:pt idx="6">
                  <c:v>9.3270553553881363E-2</c:v>
                </c:pt>
                <c:pt idx="7">
                  <c:v>7.3263019980347233E-2</c:v>
                </c:pt>
                <c:pt idx="8">
                  <c:v>7.6846053062561426E-2</c:v>
                </c:pt>
                <c:pt idx="9">
                  <c:v>8.2976416639371164E-2</c:v>
                </c:pt>
                <c:pt idx="10">
                  <c:v>8.7717327219128727E-2</c:v>
                </c:pt>
                <c:pt idx="11">
                  <c:v>5.8382574516868679E-2</c:v>
                </c:pt>
                <c:pt idx="12">
                  <c:v>6.9161480510972817E-2</c:v>
                </c:pt>
                <c:pt idx="13">
                  <c:v>7.8573534228627562E-2</c:v>
                </c:pt>
                <c:pt idx="14">
                  <c:v>8.6087127415656717E-2</c:v>
                </c:pt>
                <c:pt idx="15">
                  <c:v>9.6791025221093951E-2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6-4593-A1DA-BA0C8FC0F4C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52064943"/>
        <c:axId val="852067855"/>
      </c:barChart>
      <c:catAx>
        <c:axId val="85206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RW"/>
          </a:p>
        </c:txPr>
        <c:crossAx val="852067855"/>
        <c:crosses val="autoZero"/>
        <c:auto val="1"/>
        <c:lblAlgn val="ctr"/>
        <c:lblOffset val="100"/>
        <c:noMultiLvlLbl val="0"/>
      </c:catAx>
      <c:valAx>
        <c:axId val="8520678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5206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>
                <a:latin typeface="Bahnschrift" panose="020B0502040204020203" pitchFamily="34" charset="0"/>
              </a:rPr>
              <a:t>GDP 2025Q3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RW"/>
        </a:p>
      </c:txPr>
    </c:title>
    <c:autoTitleDeleted val="0"/>
    <c:plotArea>
      <c:layout>
        <c:manualLayout>
          <c:layoutTarget val="inner"/>
          <c:xMode val="edge"/>
          <c:yMode val="edge"/>
          <c:x val="0.39313514547286932"/>
          <c:y val="0.11492139457927102"/>
          <c:w val="0.56397985110891657"/>
          <c:h val="0.769546044937401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'2025Q1&amp;Q2'!$B$100:$AW$100</c:f>
              <c:strCache>
                <c:ptCount val="48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3">
                  <c:v>Agriculture_exp_val</c:v>
                </c:pt>
                <c:pt idx="4">
                  <c:v>Agriculture_exp_vol</c:v>
                </c:pt>
                <c:pt idx="5">
                  <c:v>cement_imports </c:v>
                </c:pt>
                <c:pt idx="6">
                  <c:v>cement_production</c:v>
                </c:pt>
                <c:pt idx="7">
                  <c:v>cpi</c:v>
                </c:pt>
                <c:pt idx="8">
                  <c:v>cpi_Food</c:v>
                </c:pt>
                <c:pt idx="9">
                  <c:v>credit_priv_sector </c:v>
                </c:pt>
                <c:pt idx="10">
                  <c:v>electricity_prod </c:v>
                </c:pt>
                <c:pt idx="11">
                  <c:v>exp_3ts_val</c:v>
                </c:pt>
                <c:pt idx="12">
                  <c:v>exp_3ts_vol</c:v>
                </c:pt>
                <c:pt idx="13">
                  <c:v>exp_val</c:v>
                </c:pt>
                <c:pt idx="14">
                  <c:v>exp_vol</c:v>
                </c:pt>
                <c:pt idx="15">
                  <c:v>flour_production </c:v>
                </c:pt>
                <c:pt idx="16">
                  <c:v>IIP</c:v>
                </c:pt>
                <c:pt idx="17">
                  <c:v>Imp_Cap_val</c:v>
                </c:pt>
                <c:pt idx="18">
                  <c:v>Imp_Cap_vol</c:v>
                </c:pt>
                <c:pt idx="19">
                  <c:v>imp_cif</c:v>
                </c:pt>
                <c:pt idx="20">
                  <c:v>Imp_consumer_val</c:v>
                </c:pt>
                <c:pt idx="21">
                  <c:v>Imp_consumer_vol</c:v>
                </c:pt>
                <c:pt idx="22">
                  <c:v>Imp_Interm_val</c:v>
                </c:pt>
                <c:pt idx="23">
                  <c:v>Imp_Interm_vol</c:v>
                </c:pt>
                <c:pt idx="24">
                  <c:v>Import_petroleum_products</c:v>
                </c:pt>
                <c:pt idx="25">
                  <c:v>imp_vol</c:v>
                </c:pt>
                <c:pt idx="26">
                  <c:v>M3</c:v>
                </c:pt>
                <c:pt idx="27">
                  <c:v>mle1</c:v>
                </c:pt>
                <c:pt idx="28">
                  <c:v>mle2</c:v>
                </c:pt>
                <c:pt idx="29">
                  <c:v>mle3</c:v>
                </c:pt>
                <c:pt idx="30">
                  <c:v>modern_beer </c:v>
                </c:pt>
                <c:pt idx="31">
                  <c:v>ner_eop_usd</c:v>
                </c:pt>
                <c:pt idx="32">
                  <c:v>nom_CIEA</c:v>
                </c:pt>
                <c:pt idx="33">
                  <c:v>ppi_all_rwanda </c:v>
                </c:pt>
                <c:pt idx="34">
                  <c:v>real_CIEA</c:v>
                </c:pt>
                <c:pt idx="35">
                  <c:v>rice_production </c:v>
                </c:pt>
                <c:pt idx="36">
                  <c:v>soft_drinks </c:v>
                </c:pt>
                <c:pt idx="37">
                  <c:v>Total_Cement</c:v>
                </c:pt>
                <c:pt idx="38">
                  <c:v>Turnovers_Construction</c:v>
                </c:pt>
                <c:pt idx="39">
                  <c:v>Turnovers_Financial</c:v>
                </c:pt>
                <c:pt idx="40">
                  <c:v>Turnovers_Hotel</c:v>
                </c:pt>
                <c:pt idx="41">
                  <c:v>turnovers_industry</c:v>
                </c:pt>
                <c:pt idx="42">
                  <c:v>Turnovers_Manuf</c:v>
                </c:pt>
                <c:pt idx="43">
                  <c:v>turnovers_services</c:v>
                </c:pt>
                <c:pt idx="44">
                  <c:v>Turnovers_Trade</c:v>
                </c:pt>
                <c:pt idx="45">
                  <c:v>Turnovers_Transport</c:v>
                </c:pt>
                <c:pt idx="46">
                  <c:v>VAT_receipts</c:v>
                </c:pt>
                <c:pt idx="47">
                  <c:v>water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R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'2025Q1&amp;Q2'!$B$100:$AW$100</c15:sqref>
                  </c15:fullRef>
                </c:ext>
              </c:extLst>
              <c:f>('2025Q1&amp;Q2'!$B$100:$D$100,'2025Q1&amp;Q2'!$G$100,'2025Q1&amp;Q2'!$O$100,'2025Q1&amp;Q2'!$T$100,'2025Q1&amp;Q2'!$AC$100:$AE$100,'2025Q1&amp;Q2'!$AH$100,'2025Q1&amp;Q2'!$AO$100,'2025Q1&amp;Q2'!$AQ$100,'2025Q1&amp;Q2'!$AS$100:$AV$100)</c:f>
              <c:strCache>
                <c:ptCount val="16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3">
                  <c:v>cement_imports </c:v>
                </c:pt>
                <c:pt idx="4">
                  <c:v>exp_val</c:v>
                </c:pt>
                <c:pt idx="5">
                  <c:v>Imp_Cap_vol</c:v>
                </c:pt>
                <c:pt idx="6">
                  <c:v>mle1</c:v>
                </c:pt>
                <c:pt idx="7">
                  <c:v>mle2</c:v>
                </c:pt>
                <c:pt idx="8">
                  <c:v>mle3</c:v>
                </c:pt>
                <c:pt idx="9">
                  <c:v>nom_CIEA</c:v>
                </c:pt>
                <c:pt idx="10">
                  <c:v>Turnovers_Financial</c:v>
                </c:pt>
                <c:pt idx="11">
                  <c:v>turnovers_industry</c:v>
                </c:pt>
                <c:pt idx="12">
                  <c:v>turnovers_services</c:v>
                </c:pt>
                <c:pt idx="13">
                  <c:v>Turnovers_Trade</c:v>
                </c:pt>
                <c:pt idx="14">
                  <c:v>Turnovers_Transport</c:v>
                </c:pt>
                <c:pt idx="15">
                  <c:v>VAT_receipts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'2025Q1&amp;Q2'!$B$103:$AW$103</c15:sqref>
                  </c15:fullRef>
                </c:ext>
              </c:extLst>
              <c:f>('2025Q1&amp;Q2'!$B$103:$D$103,'2025Q1&amp;Q2'!$G$103,'2025Q1&amp;Q2'!$O$103,'2025Q1&amp;Q2'!$T$103,'2025Q1&amp;Q2'!$AC$103:$AE$103,'2025Q1&amp;Q2'!$AH$103,'2025Q1&amp;Q2'!$AO$103,'2025Q1&amp;Q2'!$AQ$103,'2025Q1&amp;Q2'!$AS$103:$AV$103)</c:f>
              <c:numCache>
                <c:formatCode>0.0%</c:formatCode>
                <c:ptCount val="16"/>
                <c:pt idx="0">
                  <c:v>6.9140813731722872E-2</c:v>
                </c:pt>
                <c:pt idx="1">
                  <c:v>6.2018118245390941E-2</c:v>
                </c:pt>
                <c:pt idx="2">
                  <c:v>8.7141767323585473E-2</c:v>
                </c:pt>
                <c:pt idx="3">
                  <c:v>1.0604259376986613E-2</c:v>
                </c:pt>
                <c:pt idx="4">
                  <c:v>2.6983153210425881E-2</c:v>
                </c:pt>
                <c:pt idx="5">
                  <c:v>8.7679275270184265E-2</c:v>
                </c:pt>
                <c:pt idx="6">
                  <c:v>7.598410680228862E-2</c:v>
                </c:pt>
                <c:pt idx="7">
                  <c:v>6.0917673235854952E-2</c:v>
                </c:pt>
                <c:pt idx="8">
                  <c:v>0.10486204704386526</c:v>
                </c:pt>
                <c:pt idx="9">
                  <c:v>9.3734265734265687E-2</c:v>
                </c:pt>
                <c:pt idx="10">
                  <c:v>7.8792434837889447E-2</c:v>
                </c:pt>
                <c:pt idx="11">
                  <c:v>5.5230133502860657E-2</c:v>
                </c:pt>
                <c:pt idx="12">
                  <c:v>5.1195486331850004E-2</c:v>
                </c:pt>
                <c:pt idx="13">
                  <c:v>4.8088048315320986E-2</c:v>
                </c:pt>
                <c:pt idx="14">
                  <c:v>7.6481881754609127E-2</c:v>
                </c:pt>
                <c:pt idx="15">
                  <c:v>9.1392879847425279E-2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A-4726-A932-8F8995F5AA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52064943"/>
        <c:axId val="852067855"/>
      </c:barChart>
      <c:catAx>
        <c:axId val="85206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RW"/>
          </a:p>
        </c:txPr>
        <c:crossAx val="852067855"/>
        <c:crosses val="autoZero"/>
        <c:auto val="1"/>
        <c:lblAlgn val="ctr"/>
        <c:lblOffset val="100"/>
        <c:noMultiLvlLbl val="0"/>
      </c:catAx>
      <c:valAx>
        <c:axId val="8520678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5206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'2025Q1&amp;Q2'!$E$48:$AW$48</c:f>
              <c:strCache>
                <c:ptCount val="45"/>
                <c:pt idx="0">
                  <c:v>Agriculture_exp_val</c:v>
                </c:pt>
                <c:pt idx="1">
                  <c:v>Agriculture_exp_vol</c:v>
                </c:pt>
                <c:pt idx="2">
                  <c:v>cement_imports </c:v>
                </c:pt>
                <c:pt idx="3">
                  <c:v>cement_production</c:v>
                </c:pt>
                <c:pt idx="4">
                  <c:v>cpi</c:v>
                </c:pt>
                <c:pt idx="5">
                  <c:v>cpi_Food</c:v>
                </c:pt>
                <c:pt idx="6">
                  <c:v>credit_priv_sector </c:v>
                </c:pt>
                <c:pt idx="7">
                  <c:v>electricity_prod </c:v>
                </c:pt>
                <c:pt idx="8">
                  <c:v>exp_3ts_val</c:v>
                </c:pt>
                <c:pt idx="9">
                  <c:v>exp_3ts_vol</c:v>
                </c:pt>
                <c:pt idx="10">
                  <c:v>exp_val</c:v>
                </c:pt>
                <c:pt idx="11">
                  <c:v>exp_vol</c:v>
                </c:pt>
                <c:pt idx="12">
                  <c:v>flour_production </c:v>
                </c:pt>
                <c:pt idx="13">
                  <c:v>IIP</c:v>
                </c:pt>
                <c:pt idx="14">
                  <c:v>Imp_Cap_val</c:v>
                </c:pt>
                <c:pt idx="15">
                  <c:v>Imp_Cap_vol</c:v>
                </c:pt>
                <c:pt idx="16">
                  <c:v>imp_cif</c:v>
                </c:pt>
                <c:pt idx="17">
                  <c:v>Imp_consumer_val</c:v>
                </c:pt>
                <c:pt idx="18">
                  <c:v>Imp_consumer_vol</c:v>
                </c:pt>
                <c:pt idx="19">
                  <c:v>Imp_Interm_val</c:v>
                </c:pt>
                <c:pt idx="20">
                  <c:v>Imp_Interm_vol</c:v>
                </c:pt>
                <c:pt idx="21">
                  <c:v>Import_petroleum_products</c:v>
                </c:pt>
                <c:pt idx="22">
                  <c:v>imp_vol</c:v>
                </c:pt>
                <c:pt idx="23">
                  <c:v>M3</c:v>
                </c:pt>
                <c:pt idx="24">
                  <c:v>mle1</c:v>
                </c:pt>
                <c:pt idx="25">
                  <c:v>mle2</c:v>
                </c:pt>
                <c:pt idx="26">
                  <c:v>mle3</c:v>
                </c:pt>
                <c:pt idx="27">
                  <c:v>modern_beer </c:v>
                </c:pt>
                <c:pt idx="28">
                  <c:v>ner_eop_usd</c:v>
                </c:pt>
                <c:pt idx="29">
                  <c:v>nom_CIEA</c:v>
                </c:pt>
                <c:pt idx="30">
                  <c:v>ppi_all_rwanda </c:v>
                </c:pt>
                <c:pt idx="31">
                  <c:v>real_CIEA</c:v>
                </c:pt>
                <c:pt idx="32">
                  <c:v>rice_production </c:v>
                </c:pt>
                <c:pt idx="33">
                  <c:v>soft_drinks </c:v>
                </c:pt>
                <c:pt idx="34">
                  <c:v>Total_Cement</c:v>
                </c:pt>
                <c:pt idx="35">
                  <c:v>Turnovers_Construction</c:v>
                </c:pt>
                <c:pt idx="36">
                  <c:v>Turnovers_Financial</c:v>
                </c:pt>
                <c:pt idx="37">
                  <c:v>Turnovers_Hotel</c:v>
                </c:pt>
                <c:pt idx="38">
                  <c:v>turnovers_industry</c:v>
                </c:pt>
                <c:pt idx="39">
                  <c:v>Turnovers_Manuf</c:v>
                </c:pt>
                <c:pt idx="40">
                  <c:v>turnovers_services</c:v>
                </c:pt>
                <c:pt idx="41">
                  <c:v>Turnovers_Trade</c:v>
                </c:pt>
                <c:pt idx="42">
                  <c:v>Turnovers_Transport</c:v>
                </c:pt>
                <c:pt idx="43">
                  <c:v>VAT_receipts</c:v>
                </c:pt>
                <c:pt idx="44">
                  <c:v>water</c:v>
                </c:pt>
              </c:strCache>
            </c:strRef>
          </c:cat>
          <c:val>
            <c:numRef>
              <c:f>'2025Q1&amp;Q2'!$E$51:$AW$51</c:f>
              <c:numCache>
                <c:formatCode>0.0%</c:formatCode>
                <c:ptCount val="45"/>
                <c:pt idx="0">
                  <c:v>0.10711889944317066</c:v>
                </c:pt>
                <c:pt idx="1">
                  <c:v>0.11414248280379957</c:v>
                </c:pt>
                <c:pt idx="2">
                  <c:v>9.1677366524729909E-2</c:v>
                </c:pt>
                <c:pt idx="3">
                  <c:v>9.8389125450376591E-2</c:v>
                </c:pt>
                <c:pt idx="4">
                  <c:v>9.8101211922698939E-2</c:v>
                </c:pt>
                <c:pt idx="5">
                  <c:v>9.8514575827055362E-2</c:v>
                </c:pt>
                <c:pt idx="6">
                  <c:v>9.8443498198493185E-2</c:v>
                </c:pt>
                <c:pt idx="7">
                  <c:v>7.3881428103504732E-2</c:v>
                </c:pt>
                <c:pt idx="8">
                  <c:v>0.10911758925646908</c:v>
                </c:pt>
                <c:pt idx="9">
                  <c:v>0.11297903701277434</c:v>
                </c:pt>
                <c:pt idx="10">
                  <c:v>5.3098591549295859E-2</c:v>
                </c:pt>
                <c:pt idx="11">
                  <c:v>9.1348182115951415E-2</c:v>
                </c:pt>
                <c:pt idx="12">
                  <c:v>9.8626596790042598E-2</c:v>
                </c:pt>
                <c:pt idx="13">
                  <c:v>9.8328856862102798E-2</c:v>
                </c:pt>
                <c:pt idx="14">
                  <c:v>8.343858499836232E-2</c:v>
                </c:pt>
                <c:pt idx="15">
                  <c:v>0.10252866033409758</c:v>
                </c:pt>
                <c:pt idx="16">
                  <c:v>7.8660334097608864E-2</c:v>
                </c:pt>
                <c:pt idx="17">
                  <c:v>0.10024631509990178</c:v>
                </c:pt>
                <c:pt idx="18">
                  <c:v>9.6248280379954254E-2</c:v>
                </c:pt>
                <c:pt idx="19">
                  <c:v>6.5848345889289117E-2</c:v>
                </c:pt>
                <c:pt idx="20">
                  <c:v>8.295676383884687E-2</c:v>
                </c:pt>
                <c:pt idx="21">
                  <c:v>9.2874877169996761E-2</c:v>
                </c:pt>
                <c:pt idx="22">
                  <c:v>9.3640026203734017E-2</c:v>
                </c:pt>
                <c:pt idx="23">
                  <c:v>0.10012086472322301</c:v>
                </c:pt>
                <c:pt idx="24">
                  <c:v>9.3270553553881363E-2</c:v>
                </c:pt>
                <c:pt idx="25">
                  <c:v>7.3263019980347233E-2</c:v>
                </c:pt>
                <c:pt idx="26">
                  <c:v>7.6846053062561426E-2</c:v>
                </c:pt>
                <c:pt idx="27">
                  <c:v>9.9552898788077382E-2</c:v>
                </c:pt>
                <c:pt idx="28">
                  <c:v>7.8176220111365824E-2</c:v>
                </c:pt>
                <c:pt idx="29">
                  <c:v>8.2976416639371164E-2</c:v>
                </c:pt>
                <c:pt idx="30">
                  <c:v>9.8002947920078576E-2</c:v>
                </c:pt>
                <c:pt idx="31">
                  <c:v>9.7060268588273768E-2</c:v>
                </c:pt>
                <c:pt idx="32">
                  <c:v>0.10776809695381595</c:v>
                </c:pt>
                <c:pt idx="33">
                  <c:v>2.0635440550309525E-5</c:v>
                </c:pt>
                <c:pt idx="34">
                  <c:v>2.5992466426465688E-2</c:v>
                </c:pt>
                <c:pt idx="35">
                  <c:v>0.1059266295447101</c:v>
                </c:pt>
                <c:pt idx="36">
                  <c:v>8.7717327219128727E-2</c:v>
                </c:pt>
                <c:pt idx="37">
                  <c:v>8.4639371110383221E-2</c:v>
                </c:pt>
                <c:pt idx="38">
                  <c:v>5.8382574516868679E-2</c:v>
                </c:pt>
                <c:pt idx="39">
                  <c:v>0.10024926301998049</c:v>
                </c:pt>
                <c:pt idx="40">
                  <c:v>6.9161480510972817E-2</c:v>
                </c:pt>
                <c:pt idx="41">
                  <c:v>7.8573534228627562E-2</c:v>
                </c:pt>
                <c:pt idx="42">
                  <c:v>8.6087127415656717E-2</c:v>
                </c:pt>
                <c:pt idx="43">
                  <c:v>9.6791025221093951E-2</c:v>
                </c:pt>
                <c:pt idx="44">
                  <c:v>7.9705863085489659E-2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8-4FEB-BC91-A05D735B0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596600"/>
        <c:axId val="1041596960"/>
      </c:barChart>
      <c:catAx>
        <c:axId val="1041596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041596960"/>
        <c:crosses val="autoZero"/>
        <c:auto val="1"/>
        <c:lblAlgn val="ctr"/>
        <c:lblOffset val="100"/>
        <c:noMultiLvlLbl val="0"/>
      </c:catAx>
      <c:valAx>
        <c:axId val="104159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041596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'2025Q1&amp;Q2'!$E$100:$AW$100</c:f>
              <c:strCache>
                <c:ptCount val="45"/>
                <c:pt idx="0">
                  <c:v>Agriculture_exp_val</c:v>
                </c:pt>
                <c:pt idx="1">
                  <c:v>Agriculture_exp_vol</c:v>
                </c:pt>
                <c:pt idx="2">
                  <c:v>cement_imports </c:v>
                </c:pt>
                <c:pt idx="3">
                  <c:v>cement_production</c:v>
                </c:pt>
                <c:pt idx="4">
                  <c:v>cpi</c:v>
                </c:pt>
                <c:pt idx="5">
                  <c:v>cpi_Food</c:v>
                </c:pt>
                <c:pt idx="6">
                  <c:v>credit_priv_sector </c:v>
                </c:pt>
                <c:pt idx="7">
                  <c:v>electricity_prod </c:v>
                </c:pt>
                <c:pt idx="8">
                  <c:v>exp_3ts_val</c:v>
                </c:pt>
                <c:pt idx="9">
                  <c:v>exp_3ts_vol</c:v>
                </c:pt>
                <c:pt idx="10">
                  <c:v>exp_val</c:v>
                </c:pt>
                <c:pt idx="11">
                  <c:v>exp_vol</c:v>
                </c:pt>
                <c:pt idx="12">
                  <c:v>flour_production </c:v>
                </c:pt>
                <c:pt idx="13">
                  <c:v>IIP</c:v>
                </c:pt>
                <c:pt idx="14">
                  <c:v>Imp_Cap_val</c:v>
                </c:pt>
                <c:pt idx="15">
                  <c:v>Imp_Cap_vol</c:v>
                </c:pt>
                <c:pt idx="16">
                  <c:v>imp_cif</c:v>
                </c:pt>
                <c:pt idx="17">
                  <c:v>Imp_consumer_val</c:v>
                </c:pt>
                <c:pt idx="18">
                  <c:v>Imp_consumer_vol</c:v>
                </c:pt>
                <c:pt idx="19">
                  <c:v>Imp_Interm_val</c:v>
                </c:pt>
                <c:pt idx="20">
                  <c:v>Imp_Interm_vol</c:v>
                </c:pt>
                <c:pt idx="21">
                  <c:v>Import_petroleum_products</c:v>
                </c:pt>
                <c:pt idx="22">
                  <c:v>imp_vol</c:v>
                </c:pt>
                <c:pt idx="23">
                  <c:v>M3</c:v>
                </c:pt>
                <c:pt idx="24">
                  <c:v>mle1</c:v>
                </c:pt>
                <c:pt idx="25">
                  <c:v>mle2</c:v>
                </c:pt>
                <c:pt idx="26">
                  <c:v>mle3</c:v>
                </c:pt>
                <c:pt idx="27">
                  <c:v>modern_beer </c:v>
                </c:pt>
                <c:pt idx="28">
                  <c:v>ner_eop_usd</c:v>
                </c:pt>
                <c:pt idx="29">
                  <c:v>nom_CIEA</c:v>
                </c:pt>
                <c:pt idx="30">
                  <c:v>ppi_all_rwanda </c:v>
                </c:pt>
                <c:pt idx="31">
                  <c:v>real_CIEA</c:v>
                </c:pt>
                <c:pt idx="32">
                  <c:v>rice_production </c:v>
                </c:pt>
                <c:pt idx="33">
                  <c:v>soft_drinks </c:v>
                </c:pt>
                <c:pt idx="34">
                  <c:v>Total_Cement</c:v>
                </c:pt>
                <c:pt idx="35">
                  <c:v>Turnovers_Construction</c:v>
                </c:pt>
                <c:pt idx="36">
                  <c:v>Turnovers_Financial</c:v>
                </c:pt>
                <c:pt idx="37">
                  <c:v>Turnovers_Hotel</c:v>
                </c:pt>
                <c:pt idx="38">
                  <c:v>turnovers_industry</c:v>
                </c:pt>
                <c:pt idx="39">
                  <c:v>Turnovers_Manuf</c:v>
                </c:pt>
                <c:pt idx="40">
                  <c:v>turnovers_services</c:v>
                </c:pt>
                <c:pt idx="41">
                  <c:v>Turnovers_Trade</c:v>
                </c:pt>
                <c:pt idx="42">
                  <c:v>Turnovers_Transport</c:v>
                </c:pt>
                <c:pt idx="43">
                  <c:v>VAT_receipts</c:v>
                </c:pt>
                <c:pt idx="44">
                  <c:v>water</c:v>
                </c:pt>
              </c:strCache>
            </c:strRef>
          </c:cat>
          <c:val>
            <c:numRef>
              <c:f>'2025Q1&amp;Q2'!$E$103:$AW$103</c:f>
              <c:numCache>
                <c:formatCode>0.0%</c:formatCode>
                <c:ptCount val="45"/>
                <c:pt idx="0">
                  <c:v>9.0651938970120804E-2</c:v>
                </c:pt>
                <c:pt idx="1">
                  <c:v>9.024952320406876E-2</c:v>
                </c:pt>
                <c:pt idx="2">
                  <c:v>1.0604259376986613E-2</c:v>
                </c:pt>
                <c:pt idx="3">
                  <c:v>8.589701207883027E-2</c:v>
                </c:pt>
                <c:pt idx="4">
                  <c:v>8.4647488874761478E-2</c:v>
                </c:pt>
                <c:pt idx="5">
                  <c:v>8.4056579783852614E-2</c:v>
                </c:pt>
                <c:pt idx="6">
                  <c:v>8.9538143674507298E-2</c:v>
                </c:pt>
                <c:pt idx="7">
                  <c:v>7.3161157024793422E-2</c:v>
                </c:pt>
                <c:pt idx="8">
                  <c:v>9.5808010171646529E-2</c:v>
                </c:pt>
                <c:pt idx="9">
                  <c:v>9.4377622377622261E-2</c:v>
                </c:pt>
                <c:pt idx="10">
                  <c:v>2.6983153210425881E-2</c:v>
                </c:pt>
                <c:pt idx="11">
                  <c:v>8.5035918626827689E-2</c:v>
                </c:pt>
                <c:pt idx="12">
                  <c:v>8.4796567069294282E-2</c:v>
                </c:pt>
                <c:pt idx="13">
                  <c:v>8.0570565797838389E-2</c:v>
                </c:pt>
                <c:pt idx="14">
                  <c:v>8.9567069294341994E-2</c:v>
                </c:pt>
                <c:pt idx="15">
                  <c:v>8.7679275270184265E-2</c:v>
                </c:pt>
                <c:pt idx="16">
                  <c:v>0.11856325492689135</c:v>
                </c:pt>
                <c:pt idx="17">
                  <c:v>8.147774952320419E-2</c:v>
                </c:pt>
                <c:pt idx="18">
                  <c:v>9.6136999364272224E-2</c:v>
                </c:pt>
                <c:pt idx="19">
                  <c:v>5.5204068658614158E-2</c:v>
                </c:pt>
                <c:pt idx="20">
                  <c:v>8.7145581691036256E-2</c:v>
                </c:pt>
                <c:pt idx="21">
                  <c:v>8.2328671328671277E-2</c:v>
                </c:pt>
                <c:pt idx="22">
                  <c:v>9.429370629370637E-2</c:v>
                </c:pt>
                <c:pt idx="23">
                  <c:v>8.5022250476795902E-2</c:v>
                </c:pt>
                <c:pt idx="24">
                  <c:v>7.598410680228862E-2</c:v>
                </c:pt>
                <c:pt idx="25">
                  <c:v>6.0917673235854952E-2</c:v>
                </c:pt>
                <c:pt idx="26">
                  <c:v>0.10486204704386526</c:v>
                </c:pt>
                <c:pt idx="27">
                  <c:v>9.3690718372536619E-2</c:v>
                </c:pt>
                <c:pt idx="28">
                  <c:v>6.6863318499682078E-2</c:v>
                </c:pt>
                <c:pt idx="29">
                  <c:v>9.3734265734265687E-2</c:v>
                </c:pt>
                <c:pt idx="30">
                  <c:v>8.4142403051493897E-2</c:v>
                </c:pt>
                <c:pt idx="31">
                  <c:v>0.11529847425301964</c:v>
                </c:pt>
                <c:pt idx="32">
                  <c:v>8.9930705657978338E-2</c:v>
                </c:pt>
                <c:pt idx="33">
                  <c:v>-1.2066751430387823E-2</c:v>
                </c:pt>
                <c:pt idx="34">
                  <c:v>3.4653528289891877E-3</c:v>
                </c:pt>
                <c:pt idx="35">
                  <c:v>8.023649078194528E-2</c:v>
                </c:pt>
                <c:pt idx="36">
                  <c:v>7.8792434837889447E-2</c:v>
                </c:pt>
                <c:pt idx="37">
                  <c:v>7.5742848061029822E-2</c:v>
                </c:pt>
                <c:pt idx="38">
                  <c:v>5.5230133502860657E-2</c:v>
                </c:pt>
                <c:pt idx="39">
                  <c:v>7.7425937698665015E-2</c:v>
                </c:pt>
                <c:pt idx="40">
                  <c:v>5.1195486331850004E-2</c:v>
                </c:pt>
                <c:pt idx="41">
                  <c:v>4.8088048315320986E-2</c:v>
                </c:pt>
                <c:pt idx="42">
                  <c:v>7.6481881754609127E-2</c:v>
                </c:pt>
                <c:pt idx="43">
                  <c:v>9.1392879847425279E-2</c:v>
                </c:pt>
                <c:pt idx="44">
                  <c:v>6.5247298156388966E-2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4-4719-9D4A-8FD366D47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7355120"/>
        <c:axId val="897346480"/>
      </c:barChart>
      <c:catAx>
        <c:axId val="89735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97346480"/>
        <c:crosses val="autoZero"/>
        <c:auto val="1"/>
        <c:lblAlgn val="ctr"/>
        <c:lblOffset val="100"/>
        <c:noMultiLvlLbl val="0"/>
      </c:catAx>
      <c:valAx>
        <c:axId val="89734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9735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RGDP forecast (% change)</a:t>
            </a:r>
          </a:p>
        </c:rich>
      </c:tx>
      <c:layout>
        <c:manualLayout>
          <c:xMode val="edge"/>
          <c:yMode val="edge"/>
          <c:x val="0.31239732858267089"/>
          <c:y val="1.48085096459366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>
        <c:manualLayout>
          <c:layoutTarget val="inner"/>
          <c:xMode val="edge"/>
          <c:yMode val="edge"/>
          <c:x val="5.0203268780855355E-2"/>
          <c:y val="0.11494232538903863"/>
          <c:w val="0.92390787029483912"/>
          <c:h val="0.52221385356539107"/>
        </c:manualLayout>
      </c:layout>
      <c:lineChart>
        <c:grouping val="standard"/>
        <c:varyColors val="0"/>
        <c:ser>
          <c:idx val="0"/>
          <c:order val="0"/>
          <c:tx>
            <c:strRef>
              <c:f>'Seasonally adj series'!$C$1</c:f>
              <c:strCache>
                <c:ptCount val="1"/>
                <c:pt idx="0">
                  <c:v>RGDP_forecast (not sa), yoy %</c:v>
                </c:pt>
              </c:strCache>
            </c:strRef>
          </c:tx>
          <c:spPr>
            <a:ln w="12700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4686-41A4-B5E7-87C35CCBDC4D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AEF0-4419-A38E-9396D97AD17E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4686-41A4-B5E7-87C35CCBDC4D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AEF0-4419-A38E-9396D97AD17E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4686-41A4-B5E7-87C35CCBDC4D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D7CA-4987-9397-B643CDFB4EE0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AEF0-4419-A38E-9396D97AD17E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7CA-4987-9397-B643CDFB4EE0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63EB-4DE3-AD1F-94021D285A8B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D7CA-4987-9397-B643CDFB4EE0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AEF0-4419-A38E-9396D97AD17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686-41A4-B5E7-87C35CCBDC4D}"/>
                </c:ext>
              </c:extLst>
            </c:dLbl>
            <c:dLbl>
              <c:idx val="1"/>
              <c:layout>
                <c:manualLayout>
                  <c:x val="-2.6839090374834281E-2"/>
                  <c:y val="-4.36773299596361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686-41A4-B5E7-87C35CCBDC4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93-41B6-9E2E-774106D7145A}"/>
                </c:ext>
              </c:extLst>
            </c:dLbl>
            <c:dLbl>
              <c:idx val="3"/>
              <c:layout>
                <c:manualLayout>
                  <c:x val="-4.9777516710743505E-3"/>
                  <c:y val="-5.6965284368905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EF0-4419-A38E-9396D97AD1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686-41A4-B5E7-87C35CCBDC4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AEF0-4419-A38E-9396D97AD1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686-41A4-B5E7-87C35CCBDC4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7CA-4987-9397-B643CDFB4EE0}"/>
                </c:ext>
              </c:extLst>
            </c:dLbl>
            <c:dLbl>
              <c:idx val="8"/>
              <c:layout>
                <c:manualLayout>
                  <c:x val="-1.4933255013223172E-2"/>
                  <c:y val="-4.9369913119718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AEF0-4419-A38E-9396D97AD1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7CA-4987-9397-B643CDFB4EE0}"/>
                </c:ext>
              </c:extLst>
            </c:dLbl>
            <c:dLbl>
              <c:idx val="10"/>
              <c:layout>
                <c:manualLayout>
                  <c:x val="-3.0126674363070038E-2"/>
                  <c:y val="-0.1223648595902966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3EB-4DE3-AD1F-94021D285A8B}"/>
                </c:ext>
              </c:extLst>
            </c:dLbl>
            <c:dLbl>
              <c:idx val="11"/>
              <c:layout>
                <c:manualLayout>
                  <c:x val="-1.8410745444098282E-2"/>
                  <c:y val="-0.122784641334164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7CA-4987-9397-B643CDFB4EE0}"/>
                </c:ext>
              </c:extLst>
            </c:dLbl>
            <c:dLbl>
              <c:idx val="12"/>
              <c:layout>
                <c:manualLayout>
                  <c:x val="-8.1959436884633946E-3"/>
                  <c:y val="-9.51016441192046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AEF0-4419-A38E-9396D97AD17E}"/>
                </c:ext>
              </c:extLst>
            </c:dLbl>
            <c:dLbl>
              <c:idx val="13"/>
              <c:layout>
                <c:manualLayout>
                  <c:x val="-1.164091957930062E-16"/>
                  <c:y val="-5.73215059457898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AEF0-4419-A38E-9396D97AD17E}"/>
                </c:ext>
              </c:extLst>
            </c:dLbl>
            <c:dLbl>
              <c:idx val="14"/>
              <c:layout>
                <c:manualLayout>
                  <c:x val="-2.4331408342147883E-3"/>
                  <c:y val="-0.147543853534582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AEF0-4419-A38E-9396D97AD17E}"/>
                </c:ext>
              </c:extLst>
            </c:dLbl>
            <c:dLbl>
              <c:idx val="15"/>
              <c:layout>
                <c:manualLayout>
                  <c:x val="-4.9210319221270227E-2"/>
                  <c:y val="8.39148879936412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B52-4ACF-838A-9A9E611263DF}"/>
                </c:ext>
              </c:extLst>
            </c:dLbl>
            <c:dLbl>
              <c:idx val="16"/>
              <c:layout>
                <c:manualLayout>
                  <c:x val="-1.1854377095829923E-2"/>
                  <c:y val="-8.78797311280675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B52-4ACF-838A-9A9E611263DF}"/>
                </c:ext>
              </c:extLst>
            </c:dLbl>
            <c:dLbl>
              <c:idx val="17"/>
              <c:layout>
                <c:manualLayout>
                  <c:x val="0"/>
                  <c:y val="-3.5614033611795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96F-4A38-853A-EFAF8A425D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R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'Seasonally adj series'!$A$54:$A$80</c15:sqref>
                  </c15:fullRef>
                </c:ext>
              </c:extLst>
              <c:f>'Seasonally adj series'!$A$62:$A$80</c:f>
              <c:strCache>
                <c:ptCount val="19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  <c:pt idx="16">
                  <c:v>2025Q1</c:v>
                </c:pt>
                <c:pt idx="17">
                  <c:v>2025Q2</c:v>
                </c:pt>
                <c:pt idx="18">
                  <c:v>2025Q3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'Seasonally adj series'!$C$54:$C$80</c15:sqref>
                  </c15:fullRef>
                </c:ext>
              </c:extLst>
              <c:f>'Seasonally adj series'!$C$62:$C$80</c:f>
              <c:numCache>
                <c:formatCode>0.0%</c:formatCode>
                <c:ptCount val="19"/>
                <c:pt idx="0">
                  <c:v>3.5571365051133785E-2</c:v>
                </c:pt>
                <c:pt idx="1">
                  <c:v>0.20604259534422975</c:v>
                </c:pt>
                <c:pt idx="2">
                  <c:v>0.10098302055406605</c:v>
                </c:pt>
                <c:pt idx="3">
                  <c:v>0.10338910338910345</c:v>
                </c:pt>
                <c:pt idx="4">
                  <c:v>7.900386431945039E-2</c:v>
                </c:pt>
                <c:pt idx="5">
                  <c:v>7.433264887063662E-2</c:v>
                </c:pt>
                <c:pt idx="6">
                  <c:v>9.9431818181818121E-2</c:v>
                </c:pt>
                <c:pt idx="7">
                  <c:v>7.1539657853810334E-2</c:v>
                </c:pt>
                <c:pt idx="8">
                  <c:v>9.0728213290887316E-2</c:v>
                </c:pt>
                <c:pt idx="9">
                  <c:v>6.2691131498471053E-2</c:v>
                </c:pt>
                <c:pt idx="10">
                  <c:v>7.4197120708748621E-2</c:v>
                </c:pt>
                <c:pt idx="11">
                  <c:v>9.9419448476052219E-2</c:v>
                </c:pt>
                <c:pt idx="12">
                  <c:v>9.6680043779642455E-2</c:v>
                </c:pt>
                <c:pt idx="13">
                  <c:v>9.8201438848920963E-2</c:v>
                </c:pt>
                <c:pt idx="14">
                  <c:v>8.109965635738825E-2</c:v>
                </c:pt>
                <c:pt idx="15">
                  <c:v>8.0528052805280526E-2</c:v>
                </c:pt>
                <c:pt idx="16">
                  <c:v>7.8176979374584121E-2</c:v>
                </c:pt>
                <c:pt idx="17">
                  <c:v>8.1925974451359185E-2</c:v>
                </c:pt>
                <c:pt idx="18">
                  <c:v>6.4331532104259459E-2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'Seasonally adj series'!$C$54</c15:sqref>
                  <c15:dLbl>
                    <c:idx val="-1"/>
                    <c:layout>
                      <c:manualLayout>
                        <c:x val="-2.6548008912396535E-2"/>
                        <c:y val="0.10253751186402969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6-CC0C-4D39-A3DF-167F3807B96E}"/>
                      </c:ext>
                    </c:extLst>
                  </c15:dLbl>
                </c15:categoryFilterException>
                <c15:categoryFilterException>
                  <c15:sqref>'Seasonally adj series'!$C$55</c15:sqref>
                  <c15:dLbl>
                    <c:idx val="-1"/>
                    <c:layout>
                      <c:manualLayout>
                        <c:x val="-8.2962527851239785E-3"/>
                        <c:y val="-6.835834124268647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7-CC0C-4D39-A3DF-167F3807B96E}"/>
                      </c:ext>
                    </c:extLst>
                  </c15:dLbl>
                </c15:categoryFilterException>
                <c15:categoryFilterException>
                  <c15:sqref>'Seasonally adj series'!$C$56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8-CC0C-4D39-A3DF-167F3807B96E}"/>
                      </c:ext>
                    </c:extLst>
                  </c15:dLbl>
                </c15:categoryFilterException>
                <c15:categoryFilterException>
                  <c15:sqref>'Seasonally adj series'!$C$57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9-CC0C-4D39-A3DF-167F3807B96E}"/>
                      </c:ext>
                    </c:extLst>
                  </c15:dLbl>
                </c15:categoryFilterException>
                <c15:categoryFilterException>
                  <c15:sqref>'Seasonally adj series'!$C$58</c15:sqref>
                  <c15:dLbl>
                    <c:idx val="-1"/>
                    <c:layout>
                      <c:manualLayout>
                        <c:x val="-2.1570257241322183E-2"/>
                        <c:y val="-4.936991311971796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A-CC0C-4D39-A3DF-167F3807B96E}"/>
                      </c:ext>
                    </c:extLst>
                  </c15:dLbl>
                </c15:categoryFilterException>
                <c15:categoryFilterException>
                  <c15:sqref>'Seasonally adj series'!$C$59</c15:sqref>
                  <c15:dLbl>
                    <c:idx val="-1"/>
                    <c:layout>
                      <c:manualLayout>
                        <c:x val="-7.4666275066115256E-2"/>
                        <c:y val="3.797685624593692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B-CC0C-4D39-A3DF-167F3807B96E}"/>
                      </c:ext>
                    </c:extLst>
                  </c15:dLbl>
                </c15:categoryFilterException>
                <c15:categoryFilterException>
                  <c15:sqref>'Seasonally adj series'!$C$60</c15:sqref>
                  <c15:dLbl>
                    <c:idx val="-1"/>
                    <c:layout>
                      <c:manualLayout>
                        <c:x val="-1.3274004456198267E-2"/>
                        <c:y val="4.177454187053061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C-CC0C-4D39-A3DF-167F3807B96E}"/>
                      </c:ext>
                    </c:extLst>
                  </c15:dLbl>
                </c15:categoryFilterException>
                <c15:categoryFilterException>
                  <c15:sqref>'Seasonally adj series'!$C$61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D-CC0C-4D39-A3DF-167F3807B96E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B-B848-40A4-AF7A-80995D891DA6}"/>
            </c:ext>
          </c:extLst>
        </c:ser>
        <c:ser>
          <c:idx val="2"/>
          <c:order val="1"/>
          <c:tx>
            <c:strRef>
              <c:f>'Seasonally adj series'!$F$1</c:f>
              <c:strCache>
                <c:ptCount val="1"/>
                <c:pt idx="0">
                  <c:v>RGDP_forecast(sa), yoy %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'Seasonally adj series'!$A$54:$A$80</c15:sqref>
                  </c15:fullRef>
                </c:ext>
              </c:extLst>
              <c:f>'Seasonally adj series'!$A$62:$A$80</c:f>
              <c:strCache>
                <c:ptCount val="19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  <c:pt idx="16">
                  <c:v>2025Q1</c:v>
                </c:pt>
                <c:pt idx="17">
                  <c:v>2025Q2</c:v>
                </c:pt>
                <c:pt idx="18">
                  <c:v>2025Q3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'Seasonally adj series'!$F$54:$F$80</c15:sqref>
                  </c15:fullRef>
                </c:ext>
              </c:extLst>
              <c:f>'Seasonally adj series'!$F$62:$F$80</c:f>
              <c:numCache>
                <c:formatCode>0.0%</c:formatCode>
                <c:ptCount val="19"/>
                <c:pt idx="0">
                  <c:v>5.5291829561625372E-2</c:v>
                </c:pt>
                <c:pt idx="1">
                  <c:v>0.13682498136939492</c:v>
                </c:pt>
                <c:pt idx="2">
                  <c:v>8.0123198692007236E-2</c:v>
                </c:pt>
                <c:pt idx="3">
                  <c:v>7.7174372138210545E-2</c:v>
                </c:pt>
                <c:pt idx="4">
                  <c:v>9.3613387410448556E-2</c:v>
                </c:pt>
                <c:pt idx="5">
                  <c:v>7.81329193360909E-2</c:v>
                </c:pt>
                <c:pt idx="6">
                  <c:v>0.10087587954787058</c:v>
                </c:pt>
                <c:pt idx="7">
                  <c:v>8.8149923469059699E-2</c:v>
                </c:pt>
                <c:pt idx="8">
                  <c:v>8.4441134393351769E-2</c:v>
                </c:pt>
                <c:pt idx="9">
                  <c:v>7.1369463826253199E-2</c:v>
                </c:pt>
                <c:pt idx="10">
                  <c:v>7.1463488687638188E-2</c:v>
                </c:pt>
                <c:pt idx="11">
                  <c:v>7.1793033069476042E-2</c:v>
                </c:pt>
                <c:pt idx="12">
                  <c:v>6.8104094690147665E-2</c:v>
                </c:pt>
                <c:pt idx="13">
                  <c:v>7.731294134257416E-2</c:v>
                </c:pt>
                <c:pt idx="14">
                  <c:v>7.4984263880071289E-2</c:v>
                </c:pt>
                <c:pt idx="15">
                  <c:v>8.0808229341425619E-2</c:v>
                </c:pt>
                <c:pt idx="16">
                  <c:v>7.4522398513272359E-2</c:v>
                </c:pt>
                <c:pt idx="17">
                  <c:v>6.582919447586999E-2</c:v>
                </c:pt>
                <c:pt idx="18">
                  <c:v>5.2908789984609461E-2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68E-4101-809B-C038E5174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147679"/>
        <c:axId val="157147263"/>
      </c:lineChart>
      <c:catAx>
        <c:axId val="15714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7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57147263"/>
        <c:crosses val="autoZero"/>
        <c:auto val="1"/>
        <c:lblAlgn val="ctr"/>
        <c:lblOffset val="100"/>
        <c:noMultiLvlLbl val="0"/>
      </c:catAx>
      <c:valAx>
        <c:axId val="15714726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5714767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842010</xdr:colOff>
      <xdr:row>62</xdr:row>
      <xdr:rowOff>107950</xdr:rowOff>
    </xdr:from>
    <xdr:to>
      <xdr:col>4</xdr:col>
      <xdr:colOff>1421130</xdr:colOff>
      <xdr:row>83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861060</xdr:colOff>
      <xdr:row>113</xdr:row>
      <xdr:rowOff>3811</xdr:rowOff>
    </xdr:from>
    <xdr:to>
      <xdr:col>6</xdr:col>
      <xdr:colOff>49530</xdr:colOff>
      <xdr:row>135</xdr:row>
      <xdr:rowOff>53341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857250</xdr:colOff>
      <xdr:row>52</xdr:row>
      <xdr:rowOff>106680</xdr:rowOff>
    </xdr:from>
    <xdr:to>
      <xdr:col>16</xdr:col>
      <xdr:colOff>453390</xdr:colOff>
      <xdr:row>74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A3D7A0-D021-9E50-F286-FB5996839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742950</xdr:colOff>
      <xdr:row>106</xdr:row>
      <xdr:rowOff>83185</xdr:rowOff>
    </xdr:from>
    <xdr:to>
      <xdr:col>17</xdr:col>
      <xdr:colOff>1064260</xdr:colOff>
      <xdr:row>127</xdr:row>
      <xdr:rowOff>50165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E3B690-51BA-EB01-0BDE-BBE997EE6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552887</xdr:colOff>
      <xdr:row>55</xdr:row>
      <xdr:rowOff>143203</xdr:rowOff>
    </xdr:from>
    <xdr:to>
      <xdr:col>15</xdr:col>
      <xdr:colOff>303814</xdr:colOff>
      <xdr:row>73</xdr:row>
      <xdr:rowOff>73901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BY155"/>
  <sheetViews>
    <sheetView tabSelected="1" workbookViewId="0">
      <pane ySplit="3" topLeftCell="A25" activePane="bottomLeft" state="frozen"/>
      <selection pane="bottomLeft" activeCell="B42" sqref="B42:B45"/>
    </sheetView>
  </sheetViews>
  <sheetFormatPr defaultRowHeight="14.75" x14ac:dyDescent="0.75"/>
  <cols>
    <col min="1" max="1" width="12.7265625" customWidth="1"/>
    <col min="2" max="2" width="11.26953125" customWidth="1"/>
    <col min="3" max="3" width="12.1796875" bestFit="1" customWidth="1"/>
    <col min="4" max="4" width="13.26953125" bestFit="1" customWidth="1"/>
    <col min="5" max="5" width="20.1796875" customWidth="1"/>
    <col min="6" max="6" width="18.26953125" customWidth="1"/>
    <col min="7" max="7" width="15.7265625" bestFit="1" customWidth="1"/>
    <col min="8" max="8" width="18.7265625" bestFit="1" customWidth="1"/>
    <col min="9" max="9" width="17.453125" customWidth="1"/>
    <col min="10" max="10" width="13.54296875" bestFit="1" customWidth="1"/>
    <col min="11" max="11" width="11.54296875" customWidth="1"/>
    <col min="12" max="12" width="11.81640625" bestFit="1" customWidth="1"/>
    <col min="13" max="13" width="14.453125" bestFit="1" customWidth="1"/>
    <col min="14" max="14" width="15.1796875" bestFit="1" customWidth="1"/>
    <col min="15" max="16" width="11.54296875" customWidth="1"/>
    <col min="17" max="18" width="16.1796875" bestFit="1" customWidth="1"/>
    <col min="19" max="19" width="17.453125" bestFit="1" customWidth="1"/>
    <col min="20" max="20" width="13.7265625" bestFit="1" customWidth="1"/>
    <col min="21" max="21" width="12.26953125" customWidth="1"/>
    <col min="22" max="22" width="11.81640625" customWidth="1"/>
    <col min="23" max="23" width="12.7265625" customWidth="1"/>
    <col min="24" max="24" width="10.453125" customWidth="1"/>
    <col min="25" max="25" width="11.26953125" customWidth="1"/>
    <col min="29" max="31" width="9.54296875" bestFit="1" customWidth="1"/>
  </cols>
  <sheetData>
    <row r="2" spans="1:12" x14ac:dyDescent="0.75">
      <c r="A2" s="5" t="s">
        <v>8</v>
      </c>
      <c r="B2" s="5"/>
      <c r="E2" t="s">
        <v>239</v>
      </c>
      <c r="F2" t="s">
        <v>240</v>
      </c>
    </row>
    <row r="3" spans="1:12" ht="15.5" thickBot="1" x14ac:dyDescent="0.9">
      <c r="B3" s="52" t="s">
        <v>191</v>
      </c>
      <c r="C3" s="110" t="s">
        <v>172</v>
      </c>
      <c r="D3" s="52" t="s">
        <v>173</v>
      </c>
      <c r="E3" s="52" t="s">
        <v>190</v>
      </c>
      <c r="F3" s="110" t="s">
        <v>171</v>
      </c>
      <c r="G3" s="108" t="s">
        <v>174</v>
      </c>
      <c r="H3" s="108" t="s">
        <v>175</v>
      </c>
      <c r="I3" s="109" t="s">
        <v>238</v>
      </c>
      <c r="J3" s="108" t="s">
        <v>237</v>
      </c>
      <c r="K3" s="108" t="s">
        <v>236</v>
      </c>
    </row>
    <row r="4" spans="1:12" x14ac:dyDescent="0.75">
      <c r="A4" s="38" t="s">
        <v>0</v>
      </c>
      <c r="B4" s="39">
        <v>1677</v>
      </c>
      <c r="C4" s="40"/>
      <c r="D4" s="41"/>
      <c r="E4" s="37">
        <v>1676.6880000000001</v>
      </c>
      <c r="F4" s="37">
        <v>1687.271</v>
      </c>
      <c r="G4" s="37">
        <v>1699.2449999999999</v>
      </c>
      <c r="H4" s="37">
        <v>1667.7629999999999</v>
      </c>
    </row>
    <row r="5" spans="1:12" x14ac:dyDescent="0.75">
      <c r="A5" s="42" t="s">
        <v>1</v>
      </c>
      <c r="B5" s="43">
        <v>1723</v>
      </c>
      <c r="C5" s="44">
        <f t="shared" ref="C5:C21" si="0">B5/B4-1</f>
        <v>2.7429934406678624E-2</v>
      </c>
      <c r="D5" s="45"/>
      <c r="E5" s="37">
        <v>1711.319</v>
      </c>
      <c r="F5" s="37">
        <v>1714.5450000000001</v>
      </c>
      <c r="G5" s="37">
        <v>1741.425</v>
      </c>
      <c r="H5" s="37">
        <v>1699.4069999999999</v>
      </c>
    </row>
    <row r="6" spans="1:12" x14ac:dyDescent="0.75">
      <c r="A6" s="42" t="s">
        <v>2</v>
      </c>
      <c r="B6" s="43">
        <v>1775</v>
      </c>
      <c r="C6" s="44">
        <f t="shared" si="0"/>
        <v>3.0179918746372714E-2</v>
      </c>
      <c r="D6" s="45"/>
      <c r="E6" s="37">
        <v>1754.2929999999999</v>
      </c>
      <c r="F6" s="37">
        <v>1745.356</v>
      </c>
      <c r="G6" s="37">
        <v>1792.9179999999999</v>
      </c>
      <c r="H6" s="37">
        <v>1739.01</v>
      </c>
    </row>
    <row r="7" spans="1:12" x14ac:dyDescent="0.75">
      <c r="A7" s="42" t="s">
        <v>3</v>
      </c>
      <c r="B7" s="43">
        <v>1807</v>
      </c>
      <c r="C7" s="44">
        <f t="shared" si="0"/>
        <v>1.8028169014084439E-2</v>
      </c>
      <c r="D7" s="45"/>
      <c r="E7" s="37">
        <v>1784.386</v>
      </c>
      <c r="F7" s="37">
        <v>1775.085</v>
      </c>
      <c r="G7" s="37">
        <v>1822.3710000000001</v>
      </c>
      <c r="H7" s="37">
        <v>1769.356</v>
      </c>
    </row>
    <row r="8" spans="1:12" x14ac:dyDescent="0.75">
      <c r="A8" s="46" t="s">
        <v>4</v>
      </c>
      <c r="B8" s="43">
        <v>1857</v>
      </c>
      <c r="C8" s="44">
        <f t="shared" si="0"/>
        <v>2.7670171555063572E-2</v>
      </c>
      <c r="D8" s="47">
        <f>B8/B4-1</f>
        <v>0.10733452593917714</v>
      </c>
      <c r="E8" s="37">
        <v>1788.0350000000001</v>
      </c>
      <c r="F8" s="37">
        <v>1796.7560000000001</v>
      </c>
      <c r="G8" s="37">
        <v>1820.973</v>
      </c>
      <c r="H8" s="37">
        <v>1775.002</v>
      </c>
      <c r="I8" s="1">
        <f>E8/E4-1</f>
        <v>6.6408896586604094E-2</v>
      </c>
      <c r="J8" s="80">
        <f>H8/H4-1</f>
        <v>6.4301102734621196E-2</v>
      </c>
      <c r="K8" s="80">
        <f>G8/G4-1</f>
        <v>7.1636520925469904E-2</v>
      </c>
      <c r="L8" s="81"/>
    </row>
    <row r="9" spans="1:12" x14ac:dyDescent="0.75">
      <c r="A9" s="48" t="s">
        <v>5</v>
      </c>
      <c r="B9" s="43">
        <v>1870</v>
      </c>
      <c r="C9" s="44">
        <f t="shared" si="0"/>
        <v>7.0005385029616729E-3</v>
      </c>
      <c r="D9" s="47">
        <f t="shared" ref="D9:D31" si="1">B9/B5-1</f>
        <v>8.5316308763784043E-2</v>
      </c>
      <c r="E9" s="37">
        <v>1820.875</v>
      </c>
      <c r="F9" s="37">
        <v>1824.8230000000001</v>
      </c>
      <c r="G9" s="37">
        <v>1860.0170000000001</v>
      </c>
      <c r="H9" s="37">
        <v>1805.3869999999999</v>
      </c>
      <c r="I9" s="1">
        <f t="shared" ref="I9:I37" si="2">E9/E5-1</f>
        <v>6.4018455939541363E-2</v>
      </c>
      <c r="J9" s="80">
        <f t="shared" ref="J9:J39" si="3">H9/H5-1</f>
        <v>6.2362930127979999E-2</v>
      </c>
      <c r="K9" s="80">
        <f t="shared" ref="K9:K40" si="4">G9/G5-1</f>
        <v>6.8100549837058821E-2</v>
      </c>
      <c r="L9" s="81"/>
    </row>
    <row r="10" spans="1:12" x14ac:dyDescent="0.75">
      <c r="A10" s="48" t="s">
        <v>6</v>
      </c>
      <c r="B10" s="43">
        <v>1832</v>
      </c>
      <c r="C10" s="44">
        <f t="shared" si="0"/>
        <v>-2.032085561497321E-2</v>
      </c>
      <c r="D10" s="47">
        <f t="shared" si="1"/>
        <v>3.2112676056337941E-2</v>
      </c>
      <c r="E10" s="37">
        <v>1850.296</v>
      </c>
      <c r="F10" s="37">
        <v>1843.16</v>
      </c>
      <c r="G10" s="37">
        <v>1887.231</v>
      </c>
      <c r="H10" s="37">
        <v>1835.682</v>
      </c>
      <c r="I10" s="1">
        <f t="shared" si="2"/>
        <v>5.4724609857076389E-2</v>
      </c>
      <c r="J10" s="80">
        <f t="shared" si="3"/>
        <v>5.5590249624786425E-2</v>
      </c>
      <c r="K10" s="80">
        <f t="shared" si="4"/>
        <v>5.2603074987255471E-2</v>
      </c>
      <c r="L10" s="81"/>
    </row>
    <row r="11" spans="1:12" x14ac:dyDescent="0.75">
      <c r="A11" s="48" t="s">
        <v>7</v>
      </c>
      <c r="B11" s="43">
        <v>1841</v>
      </c>
      <c r="C11" s="44">
        <f t="shared" si="0"/>
        <v>4.9126637554586239E-3</v>
      </c>
      <c r="D11" s="47">
        <f t="shared" si="1"/>
        <v>1.8815716657443193E-2</v>
      </c>
      <c r="E11" s="37">
        <v>1862.8240000000001</v>
      </c>
      <c r="F11" s="37">
        <v>1861.6020000000001</v>
      </c>
      <c r="G11" s="37">
        <v>1886.3879999999999</v>
      </c>
      <c r="H11" s="37">
        <v>1853.5</v>
      </c>
      <c r="I11" s="1">
        <f t="shared" si="2"/>
        <v>4.3957977702133944E-2</v>
      </c>
      <c r="J11" s="80">
        <f t="shared" si="3"/>
        <v>4.7556286015928873E-2</v>
      </c>
      <c r="K11" s="80">
        <f t="shared" si="4"/>
        <v>3.5128412381452367E-2</v>
      </c>
      <c r="L11" s="81"/>
    </row>
    <row r="12" spans="1:12" x14ac:dyDescent="0.75">
      <c r="A12" s="48" t="s">
        <v>9</v>
      </c>
      <c r="B12" s="43">
        <v>1862</v>
      </c>
      <c r="C12" s="44">
        <f t="shared" si="0"/>
        <v>1.1406844106463865E-2</v>
      </c>
      <c r="D12" s="47">
        <f t="shared" si="1"/>
        <v>2.692514808831481E-3</v>
      </c>
      <c r="E12" s="37">
        <v>1882.395</v>
      </c>
      <c r="F12" s="37">
        <v>1895.4749999999999</v>
      </c>
      <c r="G12" s="37">
        <v>1894.8009999999999</v>
      </c>
      <c r="H12" s="37">
        <v>1877.4860000000001</v>
      </c>
      <c r="I12" s="1">
        <f t="shared" si="2"/>
        <v>5.2773016188161881E-2</v>
      </c>
      <c r="J12" s="80">
        <f t="shared" si="3"/>
        <v>5.7737399732507466E-2</v>
      </c>
      <c r="K12" s="80">
        <f t="shared" si="4"/>
        <v>4.0543160167668679E-2</v>
      </c>
      <c r="L12" s="81"/>
    </row>
    <row r="13" spans="1:12" x14ac:dyDescent="0.75">
      <c r="A13" s="48" t="s">
        <v>46</v>
      </c>
      <c r="B13" s="43">
        <v>1904</v>
      </c>
      <c r="C13" s="44">
        <f t="shared" si="0"/>
        <v>2.2556390977443552E-2</v>
      </c>
      <c r="D13" s="47">
        <f t="shared" si="1"/>
        <v>1.8181818181818077E-2</v>
      </c>
      <c r="E13" s="37">
        <v>1930.06</v>
      </c>
      <c r="F13" s="37">
        <v>1938.269</v>
      </c>
      <c r="G13" s="37">
        <v>1957.9559999999999</v>
      </c>
      <c r="H13" s="37">
        <v>1919.0219999999999</v>
      </c>
      <c r="I13" s="1">
        <f t="shared" si="2"/>
        <v>5.9962929910070573E-2</v>
      </c>
      <c r="J13" s="80">
        <f>H13/H9-1</f>
        <v>6.2942183587230804E-2</v>
      </c>
      <c r="K13" s="80">
        <f>G13/G9-1</f>
        <v>5.2654895089668363E-2</v>
      </c>
      <c r="L13" s="81"/>
    </row>
    <row r="14" spans="1:12" x14ac:dyDescent="0.75">
      <c r="A14" s="48" t="s">
        <v>47</v>
      </c>
      <c r="B14" s="49">
        <v>1955</v>
      </c>
      <c r="C14" s="44">
        <f t="shared" si="0"/>
        <v>2.6785714285714191E-2</v>
      </c>
      <c r="D14" s="47">
        <f t="shared" si="1"/>
        <v>6.7139737991266379E-2</v>
      </c>
      <c r="E14" s="37">
        <v>1969.6310000000001</v>
      </c>
      <c r="F14" s="37">
        <v>1964.8309999999999</v>
      </c>
      <c r="G14" s="37">
        <v>1992.194</v>
      </c>
      <c r="H14" s="37">
        <v>1960.704</v>
      </c>
      <c r="I14" s="1">
        <f t="shared" si="2"/>
        <v>6.4495086191614703E-2</v>
      </c>
      <c r="J14" s="80">
        <f t="shared" si="3"/>
        <v>6.8106567477373536E-2</v>
      </c>
      <c r="K14" s="80">
        <f t="shared" si="4"/>
        <v>5.561746283311364E-2</v>
      </c>
      <c r="L14" s="81"/>
    </row>
    <row r="15" spans="1:12" x14ac:dyDescent="0.75">
      <c r="A15" s="48" t="s">
        <v>48</v>
      </c>
      <c r="B15" s="49">
        <v>1974</v>
      </c>
      <c r="C15" s="44">
        <f t="shared" si="0"/>
        <v>9.7186700767264433E-3</v>
      </c>
      <c r="D15" s="47">
        <f t="shared" si="1"/>
        <v>7.2243346007604625E-2</v>
      </c>
      <c r="E15" s="37">
        <v>2004.1120000000001</v>
      </c>
      <c r="F15" s="37">
        <v>1995.86</v>
      </c>
      <c r="G15" s="37">
        <v>2029.2929999999999</v>
      </c>
      <c r="H15" s="37">
        <v>1994.1479999999999</v>
      </c>
      <c r="I15" s="1">
        <f t="shared" si="2"/>
        <v>7.5846134685831901E-2</v>
      </c>
      <c r="J15" s="80">
        <f t="shared" si="3"/>
        <v>7.588238467763686E-2</v>
      </c>
      <c r="K15" s="80">
        <f t="shared" si="4"/>
        <v>7.5755889032373069E-2</v>
      </c>
      <c r="L15" s="81"/>
    </row>
    <row r="16" spans="1:12" x14ac:dyDescent="0.75">
      <c r="A16" s="48" t="s">
        <v>49</v>
      </c>
      <c r="B16" s="49">
        <v>2044</v>
      </c>
      <c r="C16" s="44">
        <f t="shared" si="0"/>
        <v>3.5460992907801359E-2</v>
      </c>
      <c r="D16" s="47">
        <f t="shared" si="1"/>
        <v>9.7744360902255689E-2</v>
      </c>
      <c r="E16" s="37">
        <v>2024.2909999999999</v>
      </c>
      <c r="F16" s="37">
        <v>2038.1769999999999</v>
      </c>
      <c r="G16" s="37">
        <v>2049.8870000000002</v>
      </c>
      <c r="H16" s="37">
        <v>2014.163</v>
      </c>
      <c r="I16" s="1">
        <f t="shared" si="2"/>
        <v>7.5380565715484682E-2</v>
      </c>
      <c r="J16" s="80">
        <f t="shared" si="3"/>
        <v>7.27978797178781E-2</v>
      </c>
      <c r="K16" s="80">
        <f t="shared" si="4"/>
        <v>8.1848172974365196E-2</v>
      </c>
      <c r="L16" s="81"/>
    </row>
    <row r="17" spans="1:12" x14ac:dyDescent="0.75">
      <c r="A17" s="48" t="s">
        <v>50</v>
      </c>
      <c r="B17" s="49">
        <v>2053</v>
      </c>
      <c r="C17" s="44">
        <f t="shared" si="0"/>
        <v>4.4031311154599795E-3</v>
      </c>
      <c r="D17" s="47">
        <f t="shared" si="1"/>
        <v>7.8256302521008347E-2</v>
      </c>
      <c r="E17" s="37">
        <v>2045.732</v>
      </c>
      <c r="F17" s="37">
        <v>2064.1260000000002</v>
      </c>
      <c r="G17" s="37">
        <v>2059.616</v>
      </c>
      <c r="H17" s="37">
        <v>2040.239</v>
      </c>
      <c r="I17" s="1">
        <f t="shared" si="2"/>
        <v>5.9931815591225179E-2</v>
      </c>
      <c r="J17" s="80">
        <f t="shared" si="3"/>
        <v>6.3166029362873521E-2</v>
      </c>
      <c r="K17" s="80">
        <f t="shared" si="4"/>
        <v>5.192149363928511E-2</v>
      </c>
      <c r="L17" s="81"/>
    </row>
    <row r="18" spans="1:12" x14ac:dyDescent="0.75">
      <c r="A18" s="48" t="s">
        <v>68</v>
      </c>
      <c r="B18" s="49">
        <v>2094</v>
      </c>
      <c r="C18" s="44">
        <f t="shared" si="0"/>
        <v>1.9970774476375963E-2</v>
      </c>
      <c r="D18" s="47">
        <f t="shared" si="1"/>
        <v>7.1099744245524343E-2</v>
      </c>
      <c r="E18" s="37">
        <v>2098.1990000000001</v>
      </c>
      <c r="F18" s="37">
        <v>2100.2220000000002</v>
      </c>
      <c r="G18" s="37">
        <v>2134.0140000000001</v>
      </c>
      <c r="H18" s="37">
        <v>2084.0279999999998</v>
      </c>
      <c r="I18" s="1">
        <f t="shared" si="2"/>
        <v>6.5275170831490703E-2</v>
      </c>
      <c r="J18" s="80">
        <f t="shared" si="3"/>
        <v>6.2897816294555264E-2</v>
      </c>
      <c r="K18" s="80">
        <f t="shared" si="4"/>
        <v>7.1187846163576429E-2</v>
      </c>
      <c r="L18" s="81"/>
    </row>
    <row r="19" spans="1:12" x14ac:dyDescent="0.75">
      <c r="A19" s="48" t="s">
        <v>91</v>
      </c>
      <c r="B19" s="49">
        <v>2164</v>
      </c>
      <c r="C19" s="44">
        <f t="shared" si="0"/>
        <v>3.3428844317096473E-2</v>
      </c>
      <c r="D19" s="47">
        <f t="shared" si="1"/>
        <v>9.6251266464032481E-2</v>
      </c>
      <c r="E19" s="37">
        <v>2135.4319999999998</v>
      </c>
      <c r="F19" s="37">
        <v>2127.0450000000001</v>
      </c>
      <c r="G19" s="37">
        <v>2185.5050000000001</v>
      </c>
      <c r="H19" s="37">
        <v>2115.6179999999999</v>
      </c>
      <c r="I19" s="1">
        <f t="shared" si="2"/>
        <v>6.5525280024270049E-2</v>
      </c>
      <c r="J19" s="80">
        <f t="shared" si="3"/>
        <v>6.0913232117174809E-2</v>
      </c>
      <c r="K19" s="80">
        <f t="shared" si="4"/>
        <v>7.6978533903186985E-2</v>
      </c>
      <c r="L19" s="81"/>
    </row>
    <row r="20" spans="1:12" x14ac:dyDescent="0.75">
      <c r="A20" s="48" t="s">
        <v>123</v>
      </c>
      <c r="B20" s="10">
        <v>2170</v>
      </c>
      <c r="C20" s="44">
        <f t="shared" si="0"/>
        <v>2.7726432532346745E-3</v>
      </c>
      <c r="D20" s="47">
        <f t="shared" si="1"/>
        <v>6.164383561643838E-2</v>
      </c>
      <c r="E20" s="37">
        <v>2170.9969999999998</v>
      </c>
      <c r="F20" s="37">
        <v>2187.933</v>
      </c>
      <c r="G20" s="37">
        <v>2220.0219999999999</v>
      </c>
      <c r="H20" s="37">
        <v>2151.5990000000002</v>
      </c>
      <c r="I20" s="1">
        <f t="shared" si="2"/>
        <v>7.2472781828304189E-2</v>
      </c>
      <c r="J20" s="80">
        <f t="shared" si="3"/>
        <v>6.8234795297103634E-2</v>
      </c>
      <c r="K20" s="80">
        <f t="shared" si="4"/>
        <v>8.299725789763035E-2</v>
      </c>
      <c r="L20" s="81"/>
    </row>
    <row r="21" spans="1:12" x14ac:dyDescent="0.75">
      <c r="A21" s="48" t="s">
        <v>126</v>
      </c>
      <c r="B21" s="10">
        <v>2306</v>
      </c>
      <c r="C21" s="44">
        <f t="shared" si="0"/>
        <v>6.267281105990774E-2</v>
      </c>
      <c r="D21" s="47">
        <f t="shared" si="1"/>
        <v>0.12323429128105201</v>
      </c>
      <c r="E21" s="37">
        <v>2212.5239999999999</v>
      </c>
      <c r="F21" s="37">
        <v>2220.491</v>
      </c>
      <c r="G21" s="37">
        <v>2266.732</v>
      </c>
      <c r="H21" s="37">
        <v>2191.0749999999998</v>
      </c>
      <c r="I21" s="1">
        <f t="shared" si="2"/>
        <v>8.1531696233915207E-2</v>
      </c>
      <c r="J21" s="80">
        <f t="shared" si="3"/>
        <v>7.3930554214481692E-2</v>
      </c>
      <c r="K21" s="80">
        <f t="shared" si="4"/>
        <v>0.10056049282973145</v>
      </c>
      <c r="L21" s="81"/>
    </row>
    <row r="22" spans="1:12" x14ac:dyDescent="0.75">
      <c r="A22" s="48" t="s">
        <v>128</v>
      </c>
      <c r="B22" s="10">
        <v>2322</v>
      </c>
      <c r="C22" s="44">
        <f t="shared" ref="C22:C39" si="5">B22/B21-1</f>
        <v>6.9384215091066181E-3</v>
      </c>
      <c r="D22" s="47">
        <f t="shared" si="1"/>
        <v>0.10888252148997135</v>
      </c>
      <c r="E22" s="37">
        <v>2254.7310000000002</v>
      </c>
      <c r="F22" s="37">
        <v>2250.0450000000001</v>
      </c>
      <c r="G22" s="37">
        <v>2315.1759999999999</v>
      </c>
      <c r="H22" s="37">
        <v>2230.8139999999999</v>
      </c>
      <c r="I22" s="1">
        <f t="shared" si="2"/>
        <v>7.4603028597382881E-2</v>
      </c>
      <c r="J22" s="80">
        <f t="shared" si="3"/>
        <v>7.0433794555543328E-2</v>
      </c>
      <c r="K22" s="80">
        <f t="shared" si="4"/>
        <v>8.4892601454348293E-2</v>
      </c>
      <c r="L22" s="81"/>
    </row>
    <row r="23" spans="1:12" x14ac:dyDescent="0.75">
      <c r="A23" s="48" t="s">
        <v>129</v>
      </c>
      <c r="B23" s="10">
        <v>2347</v>
      </c>
      <c r="C23" s="44">
        <f t="shared" si="5"/>
        <v>1.0766580534022463E-2</v>
      </c>
      <c r="D23" s="47">
        <f t="shared" si="1"/>
        <v>8.4565619223659905E-2</v>
      </c>
      <c r="E23" s="37">
        <v>2281.136</v>
      </c>
      <c r="F23" s="37">
        <v>2265.2800000000002</v>
      </c>
      <c r="G23" s="37">
        <v>2324.009</v>
      </c>
      <c r="H23" s="37">
        <v>2264.172</v>
      </c>
      <c r="I23" s="1">
        <f t="shared" si="2"/>
        <v>6.8231627136804196E-2</v>
      </c>
      <c r="J23" s="80">
        <f t="shared" si="3"/>
        <v>7.0217780336525815E-2</v>
      </c>
      <c r="K23" s="80">
        <f t="shared" si="4"/>
        <v>6.3373911292813334E-2</v>
      </c>
      <c r="L23" s="81"/>
    </row>
    <row r="24" spans="1:12" x14ac:dyDescent="0.75">
      <c r="A24" s="48" t="s">
        <v>130</v>
      </c>
      <c r="B24" s="10">
        <v>2249</v>
      </c>
      <c r="C24" s="44">
        <f t="shared" si="5"/>
        <v>-4.1755432466979103E-2</v>
      </c>
      <c r="D24" s="47">
        <f t="shared" si="1"/>
        <v>3.6405529953916993E-2</v>
      </c>
      <c r="E24" s="37">
        <v>2256.9409999999998</v>
      </c>
      <c r="F24" s="37">
        <v>2280.355</v>
      </c>
      <c r="G24" s="37">
        <v>2267.105</v>
      </c>
      <c r="H24" s="37">
        <v>2252.9180000000001</v>
      </c>
      <c r="I24" s="1">
        <f t="shared" si="2"/>
        <v>3.9587341668367193E-2</v>
      </c>
      <c r="J24" s="80">
        <f t="shared" si="3"/>
        <v>4.7090094390265014E-2</v>
      </c>
      <c r="K24" s="80">
        <f t="shared" si="4"/>
        <v>2.1208348385736819E-2</v>
      </c>
      <c r="L24" s="81"/>
    </row>
    <row r="25" spans="1:12" x14ac:dyDescent="0.75">
      <c r="A25" s="48" t="s">
        <v>147</v>
      </c>
      <c r="B25" s="50">
        <v>2019</v>
      </c>
      <c r="C25" s="44">
        <f t="shared" si="5"/>
        <v>-0.1022676745220098</v>
      </c>
      <c r="D25" s="47">
        <f t="shared" si="1"/>
        <v>-0.12445793581960107</v>
      </c>
      <c r="E25" s="37">
        <v>2185.8829999999998</v>
      </c>
      <c r="F25" s="37">
        <v>2200.6799999999998</v>
      </c>
      <c r="G25" s="37">
        <v>2166.5680000000002</v>
      </c>
      <c r="H25" s="37">
        <v>2193.5250000000001</v>
      </c>
      <c r="I25" s="1">
        <f t="shared" si="2"/>
        <v>-1.2040999329272828E-2</v>
      </c>
      <c r="J25" s="80">
        <f t="shared" si="3"/>
        <v>1.1181725865159198E-3</v>
      </c>
      <c r="K25" s="80">
        <f t="shared" si="4"/>
        <v>-4.418872632494697E-2</v>
      </c>
      <c r="L25" s="81"/>
    </row>
    <row r="26" spans="1:12" x14ac:dyDescent="0.75">
      <c r="A26" s="48" t="s">
        <v>148</v>
      </c>
      <c r="B26" s="43">
        <v>2238</v>
      </c>
      <c r="C26" s="44">
        <f t="shared" si="5"/>
        <v>0.10846953937592874</v>
      </c>
      <c r="D26" s="47">
        <f t="shared" si="1"/>
        <v>-3.6175710594315236E-2</v>
      </c>
      <c r="E26" s="37">
        <v>2329.768</v>
      </c>
      <c r="F26" s="37">
        <v>2315.6089999999999</v>
      </c>
      <c r="G26" s="37">
        <v>2357.7530000000002</v>
      </c>
      <c r="H26" s="37">
        <v>2318.694</v>
      </c>
      <c r="I26" s="1">
        <f t="shared" si="2"/>
        <v>3.3279801448598434E-2</v>
      </c>
      <c r="J26" s="80">
        <f t="shared" si="3"/>
        <v>3.9393692167970951E-2</v>
      </c>
      <c r="K26" s="80">
        <f t="shared" si="4"/>
        <v>1.8390394509963937E-2</v>
      </c>
      <c r="L26" s="81"/>
    </row>
    <row r="27" spans="1:12" x14ac:dyDescent="0.75">
      <c r="A27" s="48" t="s">
        <v>153</v>
      </c>
      <c r="B27" s="43">
        <v>2331</v>
      </c>
      <c r="C27" s="44">
        <f t="shared" si="5"/>
        <v>4.1554959785522705E-2</v>
      </c>
      <c r="D27" s="47">
        <f t="shared" si="1"/>
        <v>-6.817213463996552E-3</v>
      </c>
      <c r="E27" s="37">
        <v>2409.7220000000002</v>
      </c>
      <c r="F27" s="37">
        <v>2381.8139999999999</v>
      </c>
      <c r="G27" s="37">
        <v>2439.7840000000001</v>
      </c>
      <c r="H27" s="37">
        <v>2397.8270000000002</v>
      </c>
      <c r="I27" s="1">
        <f t="shared" si="2"/>
        <v>5.6369282673194521E-2</v>
      </c>
      <c r="J27" s="80">
        <f t="shared" si="3"/>
        <v>5.9030409350526503E-2</v>
      </c>
      <c r="K27" s="80">
        <f t="shared" si="4"/>
        <v>4.9816932722721807E-2</v>
      </c>
      <c r="L27" s="81"/>
    </row>
    <row r="28" spans="1:12" x14ac:dyDescent="0.75">
      <c r="A28" s="48" t="s">
        <v>154</v>
      </c>
      <c r="B28" s="43">
        <v>2329</v>
      </c>
      <c r="C28" s="44">
        <f t="shared" si="5"/>
        <v>-8.5800085800080694E-4</v>
      </c>
      <c r="D28" s="47">
        <f t="shared" si="1"/>
        <v>3.5571365051133785E-2</v>
      </c>
      <c r="E28" s="37">
        <v>2386.8200000000002</v>
      </c>
      <c r="F28" s="37">
        <v>2406.44</v>
      </c>
      <c r="G28" s="37">
        <v>2381.5839999999998</v>
      </c>
      <c r="H28" s="37">
        <v>2388.8919999999998</v>
      </c>
      <c r="I28" s="1">
        <f t="shared" si="2"/>
        <v>5.7546475517082696E-2</v>
      </c>
      <c r="J28" s="80">
        <f t="shared" si="3"/>
        <v>6.0354615658448241E-2</v>
      </c>
      <c r="K28" s="80">
        <f t="shared" si="4"/>
        <v>5.0495676203792916E-2</v>
      </c>
      <c r="L28" s="81"/>
    </row>
    <row r="29" spans="1:12" x14ac:dyDescent="0.75">
      <c r="A29" s="48" t="s">
        <v>155</v>
      </c>
      <c r="B29" s="43">
        <v>2435</v>
      </c>
      <c r="C29" s="44">
        <f t="shared" si="5"/>
        <v>4.5513095749248667E-2</v>
      </c>
      <c r="D29" s="47">
        <f t="shared" si="1"/>
        <v>0.20604259534422975</v>
      </c>
      <c r="E29" s="37">
        <v>2488.2939999999999</v>
      </c>
      <c r="F29" s="37">
        <v>2501.788</v>
      </c>
      <c r="G29" s="37">
        <v>2521.6950000000002</v>
      </c>
      <c r="H29" s="37">
        <v>2475.078</v>
      </c>
      <c r="I29" s="1">
        <f t="shared" si="2"/>
        <v>0.13834729489181274</v>
      </c>
      <c r="J29" s="80">
        <f t="shared" si="3"/>
        <v>0.12835641262351682</v>
      </c>
      <c r="K29" s="80">
        <f t="shared" si="4"/>
        <v>0.16391223354171203</v>
      </c>
      <c r="L29" s="81"/>
    </row>
    <row r="30" spans="1:12" x14ac:dyDescent="0.75">
      <c r="A30" s="48" t="s">
        <v>156</v>
      </c>
      <c r="B30" s="43">
        <v>2464</v>
      </c>
      <c r="C30" s="44">
        <f t="shared" si="5"/>
        <v>1.1909650924024628E-2</v>
      </c>
      <c r="D30" s="47">
        <f t="shared" si="1"/>
        <v>0.10098302055406605</v>
      </c>
      <c r="E30" s="37">
        <v>2507.6570000000002</v>
      </c>
      <c r="F30" s="37">
        <v>2501.143</v>
      </c>
      <c r="G30" s="37">
        <v>2550.6060000000002</v>
      </c>
      <c r="H30" s="37">
        <v>2490.663</v>
      </c>
      <c r="I30" s="1">
        <f t="shared" si="2"/>
        <v>7.6354813011424438E-2</v>
      </c>
      <c r="J30" s="80">
        <f t="shared" si="3"/>
        <v>7.4166319488470744E-2</v>
      </c>
      <c r="K30" s="80">
        <f t="shared" si="4"/>
        <v>8.1795251665462754E-2</v>
      </c>
      <c r="L30" s="81"/>
    </row>
    <row r="31" spans="1:12" x14ac:dyDescent="0.75">
      <c r="A31" s="48" t="s">
        <v>157</v>
      </c>
      <c r="B31" s="43">
        <v>2572</v>
      </c>
      <c r="C31" s="44">
        <f t="shared" si="5"/>
        <v>4.3831168831168776E-2</v>
      </c>
      <c r="D31" s="47">
        <f t="shared" si="1"/>
        <v>0.10338910338910345</v>
      </c>
      <c r="E31" s="37">
        <v>2594.348</v>
      </c>
      <c r="F31" s="37">
        <v>2565.6289999999999</v>
      </c>
      <c r="G31" s="37">
        <v>2660.6280000000002</v>
      </c>
      <c r="H31" s="37">
        <v>2568.1219999999998</v>
      </c>
      <c r="I31" s="1">
        <f t="shared" si="2"/>
        <v>7.6617136748554193E-2</v>
      </c>
      <c r="J31" s="80">
        <f t="shared" si="3"/>
        <v>7.1020553192536306E-2</v>
      </c>
      <c r="K31" s="80">
        <f t="shared" si="4"/>
        <v>9.051784912106986E-2</v>
      </c>
      <c r="L31" s="81"/>
    </row>
    <row r="32" spans="1:12" x14ac:dyDescent="0.75">
      <c r="A32" s="48" t="s">
        <v>158</v>
      </c>
      <c r="B32" s="43">
        <v>2513</v>
      </c>
      <c r="C32" s="44">
        <f t="shared" si="5"/>
        <v>-2.2939346811819639E-2</v>
      </c>
      <c r="D32" s="47">
        <f t="shared" ref="D32:D39" si="6">B32/B28-1</f>
        <v>7.900386431945039E-2</v>
      </c>
      <c r="E32" s="37">
        <v>2606</v>
      </c>
      <c r="F32" s="37">
        <v>2631.7150000000001</v>
      </c>
      <c r="G32" s="37">
        <v>2642.66</v>
      </c>
      <c r="H32" s="37">
        <v>2591.4949999999999</v>
      </c>
      <c r="I32" s="1">
        <f t="shared" si="2"/>
        <v>9.1829295883225415E-2</v>
      </c>
      <c r="J32" s="80">
        <f t="shared" si="3"/>
        <v>8.4810447688719259E-2</v>
      </c>
      <c r="K32" s="80">
        <f t="shared" si="4"/>
        <v>0.10962283925320282</v>
      </c>
      <c r="L32" s="81"/>
    </row>
    <row r="33" spans="1:77" x14ac:dyDescent="0.75">
      <c r="A33" s="48" t="s">
        <v>159</v>
      </c>
      <c r="B33" s="43">
        <v>2616</v>
      </c>
      <c r="C33" s="44">
        <f t="shared" si="5"/>
        <v>4.0986868284918376E-2</v>
      </c>
      <c r="D33" s="47">
        <f t="shared" si="6"/>
        <v>7.433264887063662E-2</v>
      </c>
      <c r="E33" s="37">
        <v>2677.6350000000002</v>
      </c>
      <c r="F33" s="37">
        <v>2697.26</v>
      </c>
      <c r="G33" s="37">
        <v>2725.498</v>
      </c>
      <c r="H33" s="37">
        <v>2658.6959999999999</v>
      </c>
      <c r="I33" s="1">
        <f t="shared" si="2"/>
        <v>7.6092696441819374E-2</v>
      </c>
      <c r="J33" s="80">
        <f t="shared" si="3"/>
        <v>7.4186752902332787E-2</v>
      </c>
      <c r="K33" s="80">
        <f t="shared" si="4"/>
        <v>8.0819845381776778E-2</v>
      </c>
      <c r="L33" s="81"/>
    </row>
    <row r="34" spans="1:77" x14ac:dyDescent="0.75">
      <c r="A34" s="48" t="s">
        <v>160</v>
      </c>
      <c r="B34" s="43">
        <v>2709</v>
      </c>
      <c r="C34" s="44">
        <f t="shared" si="5"/>
        <v>3.5550458715596367E-2</v>
      </c>
      <c r="D34" s="51">
        <f t="shared" si="6"/>
        <v>9.9431818181818121E-2</v>
      </c>
      <c r="E34" s="37">
        <v>2754.7840000000001</v>
      </c>
      <c r="F34" s="37">
        <v>2753.4479999999999</v>
      </c>
      <c r="G34" s="37">
        <v>2800.3820000000001</v>
      </c>
      <c r="H34" s="37">
        <v>2736.741</v>
      </c>
      <c r="I34" s="1">
        <f t="shared" si="2"/>
        <v>9.8548964232349157E-2</v>
      </c>
      <c r="J34" s="80">
        <f t="shared" si="3"/>
        <v>9.8800198983162391E-2</v>
      </c>
      <c r="K34" s="80">
        <f t="shared" si="4"/>
        <v>9.7928100224025094E-2</v>
      </c>
      <c r="L34" s="81"/>
    </row>
    <row r="35" spans="1:77" x14ac:dyDescent="0.75">
      <c r="A35" s="48" t="s">
        <v>161</v>
      </c>
      <c r="B35" s="43">
        <v>2756</v>
      </c>
      <c r="C35" s="44">
        <f t="shared" si="5"/>
        <v>1.7349575489110425E-2</v>
      </c>
      <c r="D35" s="47">
        <f t="shared" si="6"/>
        <v>7.1539657853810334E-2</v>
      </c>
      <c r="E35" s="37">
        <v>2815.3829999999998</v>
      </c>
      <c r="F35" s="37">
        <v>2791.7890000000002</v>
      </c>
      <c r="G35" s="37">
        <v>2839.1439999999998</v>
      </c>
      <c r="H35" s="37">
        <v>2805.9810000000002</v>
      </c>
      <c r="I35" s="1">
        <f t="shared" si="2"/>
        <v>8.5198670340293603E-2</v>
      </c>
      <c r="J35" s="80">
        <f t="shared" si="3"/>
        <v>9.261982102096411E-2</v>
      </c>
      <c r="K35" s="80">
        <f t="shared" si="4"/>
        <v>6.7095437618486908E-2</v>
      </c>
      <c r="L35" s="81"/>
    </row>
    <row r="36" spans="1:77" x14ac:dyDescent="0.75">
      <c r="A36" s="48" t="s">
        <v>162</v>
      </c>
      <c r="B36" s="43">
        <v>2741</v>
      </c>
      <c r="C36" s="44">
        <f t="shared" si="5"/>
        <v>-5.4426705370101969E-3</v>
      </c>
      <c r="D36" s="47">
        <f t="shared" si="6"/>
        <v>9.0728213290887316E-2</v>
      </c>
      <c r="E36" s="37">
        <v>2817.2629999999999</v>
      </c>
      <c r="F36" s="37">
        <v>2853.94</v>
      </c>
      <c r="G36" s="37">
        <v>2812.7330000000002</v>
      </c>
      <c r="H36" s="37">
        <v>2819.056</v>
      </c>
      <c r="I36" s="1">
        <f t="shared" si="2"/>
        <v>8.1067920184190401E-2</v>
      </c>
      <c r="J36" s="80">
        <f t="shared" si="3"/>
        <v>8.7810703860127237E-2</v>
      </c>
      <c r="K36" s="80">
        <f t="shared" si="4"/>
        <v>6.4356746611369031E-2</v>
      </c>
      <c r="L36" s="81"/>
    </row>
    <row r="37" spans="1:77" s="89" customFormat="1" x14ac:dyDescent="0.75">
      <c r="A37" s="82" t="s">
        <v>163</v>
      </c>
      <c r="B37" s="83">
        <v>2780</v>
      </c>
      <c r="C37" s="84">
        <f t="shared" si="5"/>
        <v>1.4228383801532241E-2</v>
      </c>
      <c r="D37" s="85">
        <f t="shared" si="6"/>
        <v>6.2691131498471053E-2</v>
      </c>
      <c r="E37" s="86">
        <v>2864.6619999999998</v>
      </c>
      <c r="F37" s="86">
        <v>2889.7620000000002</v>
      </c>
      <c r="G37" s="86">
        <v>2853.9029999999998</v>
      </c>
      <c r="H37" s="86">
        <v>2868.9189999999999</v>
      </c>
      <c r="I37" s="87">
        <f t="shared" si="2"/>
        <v>6.9847832135447652E-2</v>
      </c>
      <c r="J37" s="88">
        <f t="shared" si="3"/>
        <v>7.9069965125760922E-2</v>
      </c>
      <c r="K37" s="88">
        <f t="shared" si="4"/>
        <v>4.7112491001644274E-2</v>
      </c>
      <c r="L37" s="81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</row>
    <row r="38" spans="1:77" s="89" customFormat="1" x14ac:dyDescent="0.75">
      <c r="A38" s="82" t="s">
        <v>164</v>
      </c>
      <c r="B38" s="83">
        <v>2910</v>
      </c>
      <c r="C38" s="84">
        <f t="shared" si="5"/>
        <v>4.6762589928057485E-2</v>
      </c>
      <c r="D38" s="85">
        <f t="shared" si="6"/>
        <v>7.4197120708748621E-2</v>
      </c>
      <c r="E38" s="86">
        <v>2952.4090000000001</v>
      </c>
      <c r="F38" s="86">
        <v>2950.2190000000001</v>
      </c>
      <c r="G38" s="86">
        <v>2974.81</v>
      </c>
      <c r="H38" s="86">
        <v>2943.5459999999998</v>
      </c>
      <c r="I38" s="87">
        <f>E38/E34-1</f>
        <v>7.1738836874324807E-2</v>
      </c>
      <c r="J38" s="88">
        <f t="shared" si="3"/>
        <v>7.5566156972837417E-2</v>
      </c>
      <c r="K38" s="88">
        <f t="shared" si="4"/>
        <v>6.2287216529744782E-2</v>
      </c>
      <c r="L38" s="81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</row>
    <row r="39" spans="1:77" s="89" customFormat="1" ht="15.5" thickBot="1" x14ac:dyDescent="0.9">
      <c r="A39" s="90" t="s">
        <v>165</v>
      </c>
      <c r="B39" s="91">
        <v>3030</v>
      </c>
      <c r="C39" s="92">
        <f t="shared" si="5"/>
        <v>4.1237113402061931E-2</v>
      </c>
      <c r="D39" s="93">
        <f t="shared" si="6"/>
        <v>9.9419448476052219E-2</v>
      </c>
      <c r="E39" s="86">
        <v>3014.6619999999998</v>
      </c>
      <c r="F39" s="86">
        <v>2992.22</v>
      </c>
      <c r="G39" s="86">
        <v>3035.4250000000002</v>
      </c>
      <c r="H39" s="86">
        <v>3006.4470000000001</v>
      </c>
      <c r="I39" s="87">
        <f t="shared" ref="I39:I40" si="7">E39/E35-1</f>
        <v>7.0782199082682462E-2</v>
      </c>
      <c r="J39" s="88">
        <f t="shared" si="3"/>
        <v>7.1442393943508486E-2</v>
      </c>
      <c r="K39" s="88">
        <f t="shared" si="4"/>
        <v>6.9133865700366171E-2</v>
      </c>
      <c r="L39" s="81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</row>
    <row r="40" spans="1:77" s="100" customFormat="1" x14ac:dyDescent="0.75">
      <c r="A40" s="94" t="s">
        <v>167</v>
      </c>
      <c r="B40" s="95">
        <v>3006</v>
      </c>
      <c r="C40" s="96">
        <f t="shared" ref="C40:C46" si="8">B40/B39-1</f>
        <v>-7.9207920792079278E-3</v>
      </c>
      <c r="D40" s="97">
        <f t="shared" ref="D40:D46" si="9">B40/B36-1</f>
        <v>9.6680043779642455E-2</v>
      </c>
      <c r="E40" s="98">
        <v>3016.8560000000002</v>
      </c>
      <c r="F40" s="95">
        <v>3048.3049999999998</v>
      </c>
      <c r="G40" s="95">
        <v>3013.2240000000002</v>
      </c>
      <c r="H40" s="95">
        <v>3018.2930000000001</v>
      </c>
      <c r="I40" s="97">
        <f t="shared" si="7"/>
        <v>7.0846420799194121E-2</v>
      </c>
      <c r="J40" s="99">
        <f>H40/H36-1</f>
        <v>7.0675077047068324E-2</v>
      </c>
      <c r="K40" s="99">
        <f t="shared" si="4"/>
        <v>7.1279783754803594E-2</v>
      </c>
      <c r="L40" s="81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</row>
    <row r="41" spans="1:77" s="89" customFormat="1" x14ac:dyDescent="0.75">
      <c r="A41" s="101" t="s">
        <v>170</v>
      </c>
      <c r="B41" s="102">
        <v>3053</v>
      </c>
      <c r="C41" s="103">
        <f t="shared" si="8"/>
        <v>1.5635395874916913E-2</v>
      </c>
      <c r="D41" s="104">
        <f t="shared" si="9"/>
        <v>9.8201438848920963E-2</v>
      </c>
      <c r="E41" s="102">
        <v>3097.64</v>
      </c>
      <c r="F41" s="102">
        <v>3113.1779999999999</v>
      </c>
      <c r="G41" s="102">
        <v>3118.9029999999998</v>
      </c>
      <c r="H41" s="102">
        <v>3089.2260000000001</v>
      </c>
      <c r="I41" s="104">
        <f t="shared" ref="I41:I46" si="10">E41/E37-1</f>
        <v>8.1328268396062109E-2</v>
      </c>
      <c r="J41" s="104">
        <f t="shared" ref="J41:J46" si="11">H41/B37-1</f>
        <v>0.11123237410071951</v>
      </c>
      <c r="K41" s="104">
        <f t="shared" ref="K41:K46" si="12">G41/B37-1</f>
        <v>0.12190755395683439</v>
      </c>
      <c r="L41" s="8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</row>
    <row r="42" spans="1:77" s="89" customFormat="1" x14ac:dyDescent="0.75">
      <c r="A42" s="101" t="s">
        <v>192</v>
      </c>
      <c r="B42" s="105">
        <v>3146</v>
      </c>
      <c r="C42" s="103">
        <f t="shared" si="8"/>
        <v>3.0461840812315844E-2</v>
      </c>
      <c r="D42" s="104">
        <f t="shared" si="9"/>
        <v>8.109965635738825E-2</v>
      </c>
      <c r="E42" s="102">
        <v>3178.83</v>
      </c>
      <c r="F42" s="102">
        <v>3171.4389999999999</v>
      </c>
      <c r="G42" s="102">
        <v>3207.0940000000001</v>
      </c>
      <c r="H42" s="102">
        <v>3167.6469999999999</v>
      </c>
      <c r="I42" s="104">
        <f t="shared" si="10"/>
        <v>7.6690255313542233E-2</v>
      </c>
      <c r="J42" s="104">
        <f t="shared" si="11"/>
        <v>8.8538487972508628E-2</v>
      </c>
      <c r="K42" s="104">
        <f t="shared" si="12"/>
        <v>0.1020941580756014</v>
      </c>
      <c r="L42" s="81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</row>
    <row r="43" spans="1:77" x14ac:dyDescent="0.75">
      <c r="A43" s="101" t="s">
        <v>241</v>
      </c>
      <c r="B43" s="113">
        <v>3274</v>
      </c>
      <c r="C43" s="103">
        <f t="shared" si="8"/>
        <v>4.0686586141131631E-2</v>
      </c>
      <c r="D43" s="104">
        <f t="shared" si="9"/>
        <v>8.0528052805280526E-2</v>
      </c>
      <c r="E43" s="102">
        <v>3278.9650000000001</v>
      </c>
      <c r="F43" s="102">
        <v>3234.0160000000001</v>
      </c>
      <c r="G43" s="102">
        <v>3317.1239999999998</v>
      </c>
      <c r="H43" s="102">
        <v>3263.866</v>
      </c>
      <c r="I43" s="104">
        <f t="shared" si="10"/>
        <v>8.7672515194074929E-2</v>
      </c>
      <c r="J43" s="104">
        <f t="shared" si="11"/>
        <v>7.7183498349834956E-2</v>
      </c>
      <c r="K43" s="104">
        <f t="shared" si="12"/>
        <v>9.4760396039603956E-2</v>
      </c>
      <c r="L43" s="81"/>
    </row>
    <row r="44" spans="1:77" x14ac:dyDescent="0.75">
      <c r="A44" s="101" t="s">
        <v>242</v>
      </c>
      <c r="B44" s="102">
        <v>3241</v>
      </c>
      <c r="C44" s="103">
        <f t="shared" si="8"/>
        <v>-1.0079413561392747E-2</v>
      </c>
      <c r="D44" s="104">
        <f>B44/B40-1</f>
        <v>7.8176979374584121E-2</v>
      </c>
      <c r="E44" s="102">
        <v>3247.672</v>
      </c>
      <c r="F44" s="102">
        <v>3275.4720000000002</v>
      </c>
      <c r="G44" s="102">
        <v>3241</v>
      </c>
      <c r="H44" s="102">
        <v>3250.3110000000001</v>
      </c>
      <c r="I44" s="104">
        <f t="shared" si="10"/>
        <v>7.6508789282617284E-2</v>
      </c>
      <c r="J44" s="104">
        <f t="shared" si="11"/>
        <v>8.1274451097804512E-2</v>
      </c>
      <c r="K44" s="104">
        <f t="shared" si="12"/>
        <v>7.8176979374584121E-2</v>
      </c>
      <c r="L44" s="81"/>
    </row>
    <row r="45" spans="1:77" x14ac:dyDescent="0.75">
      <c r="A45" s="101" t="s">
        <v>249</v>
      </c>
      <c r="B45" s="102">
        <f>E45</f>
        <v>3310.9110000000001</v>
      </c>
      <c r="C45" s="103">
        <f t="shared" si="8"/>
        <v>2.1570811477938934E-2</v>
      </c>
      <c r="D45" s="140">
        <f t="shared" si="9"/>
        <v>8.4477890599410355E-2</v>
      </c>
      <c r="E45" s="102">
        <v>3310.9110000000001</v>
      </c>
      <c r="F45" s="102">
        <v>3318.116</v>
      </c>
      <c r="G45" s="102">
        <v>3340.0639999999999</v>
      </c>
      <c r="H45" s="102">
        <v>3299.375</v>
      </c>
      <c r="I45" s="104">
        <f t="shared" si="10"/>
        <v>6.884951124081562E-2</v>
      </c>
      <c r="J45" s="104">
        <f t="shared" si="11"/>
        <v>8.0699312151981673E-2</v>
      </c>
      <c r="K45" s="104">
        <f t="shared" si="12"/>
        <v>9.4026858827382931E-2</v>
      </c>
    </row>
    <row r="46" spans="1:77" x14ac:dyDescent="0.75">
      <c r="A46" s="101" t="s">
        <v>253</v>
      </c>
      <c r="B46" s="102">
        <f>E46</f>
        <v>3363.5169999999998</v>
      </c>
      <c r="C46" s="103">
        <f t="shared" si="8"/>
        <v>1.5888678372810272E-2</v>
      </c>
      <c r="D46" s="140">
        <f t="shared" si="9"/>
        <v>6.9140813731722872E-2</v>
      </c>
      <c r="E46" s="102">
        <v>3363.5169999999998</v>
      </c>
      <c r="F46" s="102">
        <v>3339.2359999999999</v>
      </c>
      <c r="G46" s="102">
        <v>3420.1480000000001</v>
      </c>
      <c r="H46" s="102">
        <v>3341.1089999999999</v>
      </c>
      <c r="I46" s="104">
        <f t="shared" si="10"/>
        <v>5.8099049021180793E-2</v>
      </c>
      <c r="J46" s="104">
        <f t="shared" si="11"/>
        <v>6.2018118245390941E-2</v>
      </c>
      <c r="K46" s="104">
        <f t="shared" si="12"/>
        <v>8.7141767323585473E-2</v>
      </c>
    </row>
    <row r="47" spans="1:77" ht="15.75" customHeight="1" x14ac:dyDescent="0.75">
      <c r="A47" s="5" t="s">
        <v>251</v>
      </c>
      <c r="B47" s="5"/>
      <c r="C47" s="5"/>
      <c r="D47" s="8"/>
      <c r="I47" s="80"/>
    </row>
    <row r="48" spans="1:77" ht="28.5" customHeight="1" x14ac:dyDescent="0.75">
      <c r="A48" s="8"/>
      <c r="B48" s="8" t="s">
        <v>92</v>
      </c>
      <c r="C48" s="8" t="s">
        <v>87</v>
      </c>
      <c r="D48" s="8" t="s">
        <v>88</v>
      </c>
      <c r="E48" s="60" t="s">
        <v>69</v>
      </c>
      <c r="F48" s="60" t="s">
        <v>70</v>
      </c>
      <c r="G48" s="60" t="s">
        <v>52</v>
      </c>
      <c r="H48" s="60" t="s">
        <v>51</v>
      </c>
      <c r="I48" s="60" t="s">
        <v>54</v>
      </c>
      <c r="J48" s="60" t="s">
        <v>71</v>
      </c>
      <c r="K48" s="60" t="s">
        <v>72</v>
      </c>
      <c r="L48" s="60" t="s">
        <v>73</v>
      </c>
      <c r="M48" s="60" t="s">
        <v>132</v>
      </c>
      <c r="N48" s="60" t="s">
        <v>133</v>
      </c>
      <c r="O48" s="60" t="s">
        <v>55</v>
      </c>
      <c r="P48" s="60" t="s">
        <v>56</v>
      </c>
      <c r="Q48" s="60" t="s">
        <v>61</v>
      </c>
      <c r="R48" s="60" t="s">
        <v>127</v>
      </c>
      <c r="S48" s="60" t="s">
        <v>134</v>
      </c>
      <c r="T48" s="60" t="s">
        <v>135</v>
      </c>
      <c r="U48" s="60" t="s">
        <v>57</v>
      </c>
      <c r="V48" s="60" t="s">
        <v>136</v>
      </c>
      <c r="W48" s="60" t="s">
        <v>137</v>
      </c>
      <c r="X48" s="60" t="s">
        <v>138</v>
      </c>
      <c r="Y48" s="60" t="s">
        <v>139</v>
      </c>
      <c r="Z48" s="60" t="s">
        <v>74</v>
      </c>
      <c r="AA48" s="60" t="s">
        <v>58</v>
      </c>
      <c r="AB48" s="60" t="s">
        <v>140</v>
      </c>
      <c r="AC48" s="61" t="s">
        <v>64</v>
      </c>
      <c r="AD48" s="61" t="s">
        <v>65</v>
      </c>
      <c r="AE48" s="61" t="s">
        <v>66</v>
      </c>
      <c r="AF48" s="60" t="s">
        <v>76</v>
      </c>
      <c r="AG48" s="60" t="s">
        <v>77</v>
      </c>
      <c r="AH48" s="60" t="s">
        <v>78</v>
      </c>
      <c r="AI48" s="60" t="s">
        <v>79</v>
      </c>
      <c r="AJ48" s="60" t="s">
        <v>80</v>
      </c>
      <c r="AK48" s="60" t="s">
        <v>81</v>
      </c>
      <c r="AL48" s="60" t="s">
        <v>82</v>
      </c>
      <c r="AM48" s="60" t="s">
        <v>53</v>
      </c>
      <c r="AN48" s="60" t="s">
        <v>141</v>
      </c>
      <c r="AO48" s="60" t="s">
        <v>142</v>
      </c>
      <c r="AP48" s="60" t="s">
        <v>143</v>
      </c>
      <c r="AQ48" s="60" t="s">
        <v>83</v>
      </c>
      <c r="AR48" s="60" t="s">
        <v>144</v>
      </c>
      <c r="AS48" s="60" t="s">
        <v>84</v>
      </c>
      <c r="AT48" s="60" t="s">
        <v>145</v>
      </c>
      <c r="AU48" s="60" t="s">
        <v>146</v>
      </c>
      <c r="AV48" s="60" t="s">
        <v>85</v>
      </c>
      <c r="AW48" s="60" t="s">
        <v>60</v>
      </c>
    </row>
    <row r="49" spans="1:49" x14ac:dyDescent="0.75">
      <c r="A49" s="29"/>
      <c r="B49" s="102">
        <f>B45</f>
        <v>3310.9110000000001</v>
      </c>
      <c r="C49" s="29">
        <f>G45</f>
        <v>3340.0639999999999</v>
      </c>
      <c r="D49" s="29">
        <f>H45</f>
        <v>3299.375</v>
      </c>
      <c r="E49" s="34">
        <v>3380.0340000000001</v>
      </c>
      <c r="F49" s="34">
        <v>3401.4769999999999</v>
      </c>
      <c r="G49" s="59">
        <v>3332.8910000000001</v>
      </c>
      <c r="H49" s="29">
        <v>3353.3820000000001</v>
      </c>
      <c r="I49" s="29">
        <v>3352.5030000000002</v>
      </c>
      <c r="J49" s="29">
        <v>3353.7649999999999</v>
      </c>
      <c r="K49" s="29">
        <v>3353.5479999999998</v>
      </c>
      <c r="L49" s="29">
        <v>3278.56</v>
      </c>
      <c r="M49" s="29">
        <v>3386.136</v>
      </c>
      <c r="N49" s="29">
        <v>3397.9250000000002</v>
      </c>
      <c r="O49" s="29">
        <v>3215.11</v>
      </c>
      <c r="P49" s="29">
        <v>3331.886</v>
      </c>
      <c r="Q49" s="29">
        <v>3354.107</v>
      </c>
      <c r="R49" s="114">
        <v>3353.1979999999999</v>
      </c>
      <c r="S49" s="29">
        <v>3307.7379999999998</v>
      </c>
      <c r="T49" s="29">
        <v>3366.02</v>
      </c>
      <c r="U49" s="29">
        <v>3293.15</v>
      </c>
      <c r="V49" s="29">
        <v>3359.0520000000001</v>
      </c>
      <c r="W49" s="29">
        <v>3346.846</v>
      </c>
      <c r="X49" s="29">
        <v>3254.0349999999999</v>
      </c>
      <c r="Y49" s="29">
        <v>3306.2669999999998</v>
      </c>
      <c r="Z49" s="29">
        <v>3336.547</v>
      </c>
      <c r="AA49" s="29">
        <v>3338.8829999999998</v>
      </c>
      <c r="AB49" s="29">
        <v>3358.6689999999999</v>
      </c>
      <c r="AC49" s="53">
        <v>3337.7550000000001</v>
      </c>
      <c r="AD49" s="53">
        <v>3276.672</v>
      </c>
      <c r="AE49" s="53">
        <v>3287.6109999999999</v>
      </c>
      <c r="AF49" s="29">
        <v>3356.9349999999999</v>
      </c>
      <c r="AG49" s="29">
        <v>3291.672</v>
      </c>
      <c r="AH49" s="29">
        <v>3306.3270000000002</v>
      </c>
      <c r="AI49" s="29">
        <v>3352.203</v>
      </c>
      <c r="AJ49" s="29">
        <v>3349.3249999999998</v>
      </c>
      <c r="AK49" s="29">
        <v>3382.0160000000001</v>
      </c>
      <c r="AL49" s="29">
        <v>3053.0630000000001</v>
      </c>
      <c r="AM49" s="29">
        <v>3132.355</v>
      </c>
      <c r="AN49" s="29">
        <v>3376.3939999999998</v>
      </c>
      <c r="AO49" s="29">
        <v>3320.8009999999999</v>
      </c>
      <c r="AP49" s="29">
        <v>3311.404</v>
      </c>
      <c r="AQ49" s="29">
        <v>3231.2420000000002</v>
      </c>
      <c r="AR49" s="29">
        <v>3359.0610000000001</v>
      </c>
      <c r="AS49" s="29">
        <v>3264.15</v>
      </c>
      <c r="AT49" s="29">
        <v>3292.8850000000002</v>
      </c>
      <c r="AU49" s="29">
        <v>3315.8240000000001</v>
      </c>
      <c r="AV49" s="29">
        <v>3348.5030000000002</v>
      </c>
      <c r="AW49" s="29">
        <v>3296.3420000000001</v>
      </c>
    </row>
    <row r="50" spans="1:49" x14ac:dyDescent="0.75">
      <c r="R50" s="14"/>
    </row>
    <row r="51" spans="1:49" x14ac:dyDescent="0.75">
      <c r="A51" s="7"/>
      <c r="B51" s="7">
        <f>D45</f>
        <v>8.4477890599410355E-2</v>
      </c>
      <c r="C51" s="7">
        <f>K45</f>
        <v>9.4026858827382931E-2</v>
      </c>
      <c r="D51" s="7">
        <f>J45</f>
        <v>8.0699312151981673E-2</v>
      </c>
      <c r="E51" s="1">
        <f>E49/$B$41-1</f>
        <v>0.10711889944317066</v>
      </c>
      <c r="F51" s="1">
        <f t="shared" ref="F51:AW51" si="13">F49/$B$41-1</f>
        <v>0.11414248280379957</v>
      </c>
      <c r="G51" s="1">
        <f t="shared" si="13"/>
        <v>9.1677366524729909E-2</v>
      </c>
      <c r="H51" s="1">
        <f t="shared" si="13"/>
        <v>9.8389125450376591E-2</v>
      </c>
      <c r="I51" s="1">
        <f t="shared" si="13"/>
        <v>9.8101211922698939E-2</v>
      </c>
      <c r="J51" s="1">
        <f t="shared" si="13"/>
        <v>9.8514575827055362E-2</v>
      </c>
      <c r="K51" s="1">
        <f t="shared" si="13"/>
        <v>9.8443498198493185E-2</v>
      </c>
      <c r="L51" s="1">
        <f t="shared" si="13"/>
        <v>7.3881428103504732E-2</v>
      </c>
      <c r="M51" s="1">
        <f t="shared" si="13"/>
        <v>0.10911758925646908</v>
      </c>
      <c r="N51" s="1">
        <f t="shared" si="13"/>
        <v>0.11297903701277434</v>
      </c>
      <c r="O51" s="1">
        <f t="shared" si="13"/>
        <v>5.3098591549295859E-2</v>
      </c>
      <c r="P51" s="1">
        <f t="shared" si="13"/>
        <v>9.1348182115951415E-2</v>
      </c>
      <c r="Q51" s="1">
        <f t="shared" si="13"/>
        <v>9.8626596790042598E-2</v>
      </c>
      <c r="R51" s="1">
        <f t="shared" si="13"/>
        <v>9.8328856862102798E-2</v>
      </c>
      <c r="S51" s="1">
        <f t="shared" si="13"/>
        <v>8.343858499836232E-2</v>
      </c>
      <c r="T51" s="1">
        <f t="shared" si="13"/>
        <v>0.10252866033409758</v>
      </c>
      <c r="U51" s="1">
        <f t="shared" si="13"/>
        <v>7.8660334097608864E-2</v>
      </c>
      <c r="V51" s="1">
        <f t="shared" si="13"/>
        <v>0.10024631509990178</v>
      </c>
      <c r="W51" s="1">
        <f t="shared" si="13"/>
        <v>9.6248280379954254E-2</v>
      </c>
      <c r="X51" s="1">
        <f t="shared" si="13"/>
        <v>6.5848345889289117E-2</v>
      </c>
      <c r="Y51" s="1">
        <f t="shared" si="13"/>
        <v>8.295676383884687E-2</v>
      </c>
      <c r="Z51" s="1">
        <f t="shared" si="13"/>
        <v>9.2874877169996761E-2</v>
      </c>
      <c r="AA51" s="1">
        <f t="shared" si="13"/>
        <v>9.3640026203734017E-2</v>
      </c>
      <c r="AB51" s="1">
        <f t="shared" si="13"/>
        <v>0.10012086472322301</v>
      </c>
      <c r="AC51" s="1">
        <f t="shared" si="13"/>
        <v>9.3270553553881363E-2</v>
      </c>
      <c r="AD51" s="1">
        <f t="shared" si="13"/>
        <v>7.3263019980347233E-2</v>
      </c>
      <c r="AE51" s="1">
        <f t="shared" si="13"/>
        <v>7.6846053062561426E-2</v>
      </c>
      <c r="AF51" s="1">
        <f t="shared" si="13"/>
        <v>9.9552898788077382E-2</v>
      </c>
      <c r="AG51" s="1">
        <f t="shared" si="13"/>
        <v>7.8176220111365824E-2</v>
      </c>
      <c r="AH51" s="1">
        <f t="shared" si="13"/>
        <v>8.2976416639371164E-2</v>
      </c>
      <c r="AI51" s="1">
        <f t="shared" si="13"/>
        <v>9.8002947920078576E-2</v>
      </c>
      <c r="AJ51" s="1">
        <f t="shared" si="13"/>
        <v>9.7060268588273768E-2</v>
      </c>
      <c r="AK51" s="1">
        <f t="shared" si="13"/>
        <v>0.10776809695381595</v>
      </c>
      <c r="AL51" s="1">
        <f t="shared" si="13"/>
        <v>2.0635440550309525E-5</v>
      </c>
      <c r="AM51" s="1">
        <f t="shared" si="13"/>
        <v>2.5992466426465688E-2</v>
      </c>
      <c r="AN51" s="1">
        <f t="shared" si="13"/>
        <v>0.1059266295447101</v>
      </c>
      <c r="AO51" s="1">
        <f t="shared" si="13"/>
        <v>8.7717327219128727E-2</v>
      </c>
      <c r="AP51" s="1">
        <f t="shared" si="13"/>
        <v>8.4639371110383221E-2</v>
      </c>
      <c r="AQ51" s="1">
        <f t="shared" si="13"/>
        <v>5.8382574516868679E-2</v>
      </c>
      <c r="AR51" s="1">
        <f t="shared" si="13"/>
        <v>0.10024926301998049</v>
      </c>
      <c r="AS51" s="1">
        <f t="shared" si="13"/>
        <v>6.9161480510972817E-2</v>
      </c>
      <c r="AT51" s="1">
        <f t="shared" si="13"/>
        <v>7.8573534228627562E-2</v>
      </c>
      <c r="AU51" s="1">
        <f t="shared" si="13"/>
        <v>8.6087127415656717E-2</v>
      </c>
      <c r="AV51" s="1">
        <f t="shared" si="13"/>
        <v>9.6791025221093951E-2</v>
      </c>
      <c r="AW51" s="1">
        <f t="shared" si="13"/>
        <v>7.9705863085489659E-2</v>
      </c>
    </row>
    <row r="52" spans="1:49" x14ac:dyDescent="0.75">
      <c r="C52" s="10"/>
    </row>
    <row r="53" spans="1:49" x14ac:dyDescent="0.75">
      <c r="A53" t="s">
        <v>169</v>
      </c>
      <c r="B53" s="36">
        <v>144</v>
      </c>
      <c r="C53" s="35"/>
      <c r="D53" s="35"/>
    </row>
    <row r="54" spans="1:49" x14ac:dyDescent="0.75">
      <c r="A54" t="s">
        <v>168</v>
      </c>
      <c r="B54" s="29">
        <f>B53*B49/100</f>
        <v>4767.7118399999999</v>
      </c>
      <c r="C54" s="29"/>
    </row>
    <row r="55" spans="1:49" x14ac:dyDescent="0.75">
      <c r="B55" s="29"/>
      <c r="C55" s="29"/>
      <c r="D55" s="29"/>
    </row>
    <row r="56" spans="1:49" x14ac:dyDescent="0.75">
      <c r="B56" s="29"/>
      <c r="D56" s="29"/>
      <c r="E56" s="2" t="s">
        <v>179</v>
      </c>
      <c r="F56" s="6">
        <f>AVERAGE(E51:AW51)</f>
        <v>8.712209484295956E-2</v>
      </c>
      <c r="G56" s="4"/>
      <c r="H56" s="14"/>
    </row>
    <row r="57" spans="1:49" x14ac:dyDescent="0.75">
      <c r="E57" t="s">
        <v>180</v>
      </c>
      <c r="F57" s="2">
        <f>MEDIAN(E51:AW51)</f>
        <v>9.3270553553881363E-2</v>
      </c>
    </row>
    <row r="59" spans="1:49" x14ac:dyDescent="0.75">
      <c r="D59" t="s">
        <v>131</v>
      </c>
      <c r="E59" s="3">
        <f>AVERAGE(E49:AW49)</f>
        <v>3318.983755555555</v>
      </c>
      <c r="H59" s="12"/>
      <c r="Q59">
        <v>3065.9760000000001</v>
      </c>
    </row>
    <row r="60" spans="1:49" x14ac:dyDescent="0.75">
      <c r="H60" s="13"/>
      <c r="Q60">
        <v>3118.6819999999998</v>
      </c>
    </row>
    <row r="61" spans="1:49" x14ac:dyDescent="0.75">
      <c r="E61" t="s">
        <v>62</v>
      </c>
      <c r="F61" s="2">
        <f>MAX(E51:AW51)</f>
        <v>0.11414248280379957</v>
      </c>
    </row>
    <row r="62" spans="1:49" x14ac:dyDescent="0.75">
      <c r="E62" t="s">
        <v>63</v>
      </c>
      <c r="F62" s="2">
        <f>MIN(E51:AW51)</f>
        <v>2.0635440550309525E-5</v>
      </c>
    </row>
    <row r="70" spans="6:9" x14ac:dyDescent="0.75">
      <c r="F70" s="126" t="s">
        <v>252</v>
      </c>
      <c r="G70" s="30" t="s">
        <v>93</v>
      </c>
      <c r="H70" s="30" t="s">
        <v>94</v>
      </c>
    </row>
    <row r="71" spans="6:9" x14ac:dyDescent="0.75">
      <c r="F71" s="126"/>
      <c r="G71" s="31"/>
      <c r="H71" s="31"/>
    </row>
    <row r="72" spans="6:9" x14ac:dyDescent="0.75">
      <c r="F72" s="126"/>
      <c r="G72" s="33">
        <v>3233.1353543606315</v>
      </c>
      <c r="H72" s="33">
        <v>3390.2502149866468</v>
      </c>
    </row>
    <row r="73" spans="6:9" x14ac:dyDescent="0.75">
      <c r="F73" s="126"/>
      <c r="G73" s="115">
        <v>5.9002736443049875E-2</v>
      </c>
      <c r="H73" s="115">
        <v>0.11046518669723127</v>
      </c>
    </row>
    <row r="74" spans="6:9" x14ac:dyDescent="0.75">
      <c r="F74" s="126"/>
      <c r="G74" s="31"/>
      <c r="H74" s="31"/>
    </row>
    <row r="79" spans="6:9" x14ac:dyDescent="0.75">
      <c r="H79" t="s">
        <v>93</v>
      </c>
      <c r="I79" t="s">
        <v>94</v>
      </c>
    </row>
    <row r="81" spans="2:19" x14ac:dyDescent="0.75">
      <c r="G81" t="s">
        <v>249</v>
      </c>
      <c r="H81">
        <v>3233.1353543606315</v>
      </c>
      <c r="I81">
        <v>3390.2502149866468</v>
      </c>
      <c r="S81" s="16"/>
    </row>
    <row r="82" spans="2:19" x14ac:dyDescent="0.75">
      <c r="H82" s="1">
        <v>5.9002736443049875E-2</v>
      </c>
      <c r="I82" s="1">
        <v>0.11046518669723127</v>
      </c>
      <c r="S82" s="2"/>
    </row>
    <row r="83" spans="2:19" x14ac:dyDescent="0.75">
      <c r="S83" s="16"/>
    </row>
    <row r="84" spans="2:19" x14ac:dyDescent="0.75">
      <c r="S84" s="2"/>
    </row>
    <row r="85" spans="2:19" x14ac:dyDescent="0.75">
      <c r="S85" s="16"/>
    </row>
    <row r="86" spans="2:19" x14ac:dyDescent="0.75">
      <c r="S86" s="2"/>
    </row>
    <row r="87" spans="2:19" x14ac:dyDescent="0.75">
      <c r="B87" s="8" t="s">
        <v>86</v>
      </c>
      <c r="E87" s="26">
        <f>B49</f>
        <v>3310.9110000000001</v>
      </c>
      <c r="G87" s="7">
        <f>B51</f>
        <v>8.4477890599410355E-2</v>
      </c>
      <c r="I87" t="s">
        <v>166</v>
      </c>
      <c r="S87" s="16"/>
    </row>
    <row r="88" spans="2:19" x14ac:dyDescent="0.75">
      <c r="E88" s="15"/>
      <c r="G88" s="2"/>
    </row>
    <row r="89" spans="2:19" x14ac:dyDescent="0.75">
      <c r="B89" s="8" t="s">
        <v>87</v>
      </c>
      <c r="E89" s="26">
        <f>D49</f>
        <v>3299.375</v>
      </c>
      <c r="G89" s="7">
        <f>C51</f>
        <v>9.4026858827382931E-2</v>
      </c>
      <c r="I89" t="s">
        <v>166</v>
      </c>
    </row>
    <row r="90" spans="2:19" x14ac:dyDescent="0.75">
      <c r="E90" s="15"/>
      <c r="G90" s="2"/>
    </row>
    <row r="91" spans="2:19" x14ac:dyDescent="0.75">
      <c r="B91" s="8" t="s">
        <v>88</v>
      </c>
      <c r="E91" s="26">
        <f>C49</f>
        <v>3340.0639999999999</v>
      </c>
      <c r="G91" s="7">
        <f>D51</f>
        <v>8.0699312151981673E-2</v>
      </c>
      <c r="I91" t="s">
        <v>176</v>
      </c>
    </row>
    <row r="92" spans="2:19" x14ac:dyDescent="0.75">
      <c r="E92" s="15"/>
      <c r="G92" s="2"/>
    </row>
    <row r="93" spans="2:19" x14ac:dyDescent="0.75">
      <c r="B93" s="8"/>
      <c r="E93" s="27"/>
      <c r="G93" s="16"/>
    </row>
    <row r="97" spans="1:49" x14ac:dyDescent="0.75">
      <c r="A97" s="5" t="s">
        <v>250</v>
      </c>
      <c r="B97" s="5"/>
      <c r="C97" s="5"/>
      <c r="D97" s="5"/>
    </row>
    <row r="99" spans="1:49" x14ac:dyDescent="0.75">
      <c r="E99" s="23"/>
      <c r="F99" s="23"/>
      <c r="G99" s="23"/>
      <c r="H99" s="23"/>
      <c r="I99" s="24"/>
      <c r="J99" s="23"/>
      <c r="K99" s="24"/>
      <c r="L99" s="25"/>
      <c r="M99" s="24"/>
      <c r="N99" s="24"/>
      <c r="O99" s="23"/>
      <c r="P99" s="23"/>
      <c r="Q99" s="24"/>
      <c r="R99" s="24"/>
      <c r="S99" s="23"/>
      <c r="T99" s="24"/>
      <c r="U99" s="23"/>
      <c r="V99" s="23"/>
      <c r="W99" s="19"/>
      <c r="X99" s="19"/>
      <c r="Y99" s="23"/>
      <c r="Z99" s="24"/>
      <c r="AA99" s="24"/>
      <c r="AB99" s="19"/>
      <c r="AC99" s="23"/>
      <c r="AD99" s="23"/>
      <c r="AE99" s="23"/>
      <c r="AF99" s="23"/>
      <c r="AG99" s="24"/>
      <c r="AH99" s="24"/>
      <c r="AI99" s="24"/>
      <c r="AJ99" s="23"/>
    </row>
    <row r="100" spans="1:49" s="112" customFormat="1" ht="59" x14ac:dyDescent="0.75">
      <c r="A100" s="111"/>
      <c r="B100" s="111" t="s">
        <v>92</v>
      </c>
      <c r="C100" s="111" t="s">
        <v>87</v>
      </c>
      <c r="D100" s="111" t="s">
        <v>88</v>
      </c>
      <c r="E100" s="60" t="s">
        <v>69</v>
      </c>
      <c r="F100" s="60" t="s">
        <v>70</v>
      </c>
      <c r="G100" s="60" t="s">
        <v>52</v>
      </c>
      <c r="H100" s="60" t="s">
        <v>51</v>
      </c>
      <c r="I100" s="60" t="s">
        <v>54</v>
      </c>
      <c r="J100" s="60" t="s">
        <v>71</v>
      </c>
      <c r="K100" s="60" t="s">
        <v>72</v>
      </c>
      <c r="L100" s="60" t="s">
        <v>73</v>
      </c>
      <c r="M100" s="60" t="s">
        <v>132</v>
      </c>
      <c r="N100" s="60" t="s">
        <v>133</v>
      </c>
      <c r="O100" s="60" t="s">
        <v>55</v>
      </c>
      <c r="P100" s="60" t="s">
        <v>56</v>
      </c>
      <c r="Q100" s="60" t="s">
        <v>61</v>
      </c>
      <c r="R100" s="60" t="s">
        <v>127</v>
      </c>
      <c r="S100" s="60" t="s">
        <v>134</v>
      </c>
      <c r="T100" s="60" t="s">
        <v>135</v>
      </c>
      <c r="U100" s="60" t="s">
        <v>57</v>
      </c>
      <c r="V100" s="60" t="s">
        <v>136</v>
      </c>
      <c r="W100" s="60" t="s">
        <v>137</v>
      </c>
      <c r="X100" s="60" t="s">
        <v>138</v>
      </c>
      <c r="Y100" s="60" t="s">
        <v>139</v>
      </c>
      <c r="Z100" s="60" t="s">
        <v>74</v>
      </c>
      <c r="AA100" s="60" t="s">
        <v>58</v>
      </c>
      <c r="AB100" s="60" t="s">
        <v>140</v>
      </c>
      <c r="AC100" s="61" t="s">
        <v>64</v>
      </c>
      <c r="AD100" s="61" t="s">
        <v>65</v>
      </c>
      <c r="AE100" s="61" t="s">
        <v>66</v>
      </c>
      <c r="AF100" s="60" t="s">
        <v>76</v>
      </c>
      <c r="AG100" s="60" t="s">
        <v>77</v>
      </c>
      <c r="AH100" s="60" t="s">
        <v>78</v>
      </c>
      <c r="AI100" s="60" t="s">
        <v>79</v>
      </c>
      <c r="AJ100" s="60" t="s">
        <v>80</v>
      </c>
      <c r="AK100" s="60" t="s">
        <v>81</v>
      </c>
      <c r="AL100" s="60" t="s">
        <v>82</v>
      </c>
      <c r="AM100" s="60" t="s">
        <v>53</v>
      </c>
      <c r="AN100" s="60" t="s">
        <v>141</v>
      </c>
      <c r="AO100" s="60" t="s">
        <v>142</v>
      </c>
      <c r="AP100" s="60" t="s">
        <v>143</v>
      </c>
      <c r="AQ100" s="60" t="s">
        <v>83</v>
      </c>
      <c r="AR100" s="60" t="s">
        <v>144</v>
      </c>
      <c r="AS100" s="60" t="s">
        <v>84</v>
      </c>
      <c r="AT100" s="60" t="s">
        <v>145</v>
      </c>
      <c r="AU100" s="60" t="s">
        <v>146</v>
      </c>
      <c r="AV100" s="60" t="s">
        <v>85</v>
      </c>
      <c r="AW100" s="60" t="s">
        <v>60</v>
      </c>
    </row>
    <row r="101" spans="1:49" x14ac:dyDescent="0.75">
      <c r="B101" s="29">
        <f>B44</f>
        <v>3241</v>
      </c>
      <c r="C101" s="29">
        <f>G44</f>
        <v>3241</v>
      </c>
      <c r="D101" s="29">
        <f>H44</f>
        <v>3250.3110000000001</v>
      </c>
      <c r="E101" s="29">
        <v>3431.1909999999998</v>
      </c>
      <c r="F101" s="29">
        <v>3429.9250000000002</v>
      </c>
      <c r="G101" s="59">
        <v>3179.3609999999999</v>
      </c>
      <c r="H101" s="29">
        <v>3416.232</v>
      </c>
      <c r="I101" s="29">
        <v>3412.3009999999999</v>
      </c>
      <c r="J101" s="29">
        <v>3410.442</v>
      </c>
      <c r="K101" s="29">
        <v>3427.6869999999999</v>
      </c>
      <c r="L101" s="29">
        <v>3376.165</v>
      </c>
      <c r="M101" s="29">
        <v>3447.4119999999998</v>
      </c>
      <c r="N101" s="29">
        <v>3442.9119999999998</v>
      </c>
      <c r="O101" s="29">
        <v>3230.8890000000001</v>
      </c>
      <c r="P101" s="29">
        <v>3413.5230000000001</v>
      </c>
      <c r="Q101" s="29">
        <v>3412.77</v>
      </c>
      <c r="R101" s="114">
        <v>3399.4749999999999</v>
      </c>
      <c r="S101" s="29">
        <v>3427.7779999999998</v>
      </c>
      <c r="T101" s="29">
        <v>3421.8389999999999</v>
      </c>
      <c r="U101" s="29">
        <v>3519</v>
      </c>
      <c r="V101" s="29">
        <v>3402.3290000000002</v>
      </c>
      <c r="W101" s="29">
        <v>3448.4470000000001</v>
      </c>
      <c r="X101" s="29">
        <v>3319.672</v>
      </c>
      <c r="Y101" s="29">
        <v>3420.16</v>
      </c>
      <c r="Z101" s="29">
        <v>3405.0059999999999</v>
      </c>
      <c r="AA101" s="29">
        <v>3442.6480000000001</v>
      </c>
      <c r="AB101" s="29">
        <v>3413.48</v>
      </c>
      <c r="AC101" s="59">
        <v>3385.0459999999998</v>
      </c>
      <c r="AD101" s="59">
        <v>3337.6469999999999</v>
      </c>
      <c r="AE101" s="59">
        <v>3475.8960000000002</v>
      </c>
      <c r="AF101" s="29">
        <v>3440.7510000000002</v>
      </c>
      <c r="AG101" s="29">
        <v>3356.3519999999999</v>
      </c>
      <c r="AH101" s="29">
        <v>3440.8879999999999</v>
      </c>
      <c r="AI101" s="29">
        <v>3410.712</v>
      </c>
      <c r="AJ101" s="29">
        <v>3508.7289999999998</v>
      </c>
      <c r="AK101" s="29">
        <v>3428.922</v>
      </c>
      <c r="AL101" s="29">
        <v>3108.038</v>
      </c>
      <c r="AM101" s="29">
        <v>3156.902</v>
      </c>
      <c r="AN101" s="29">
        <v>3398.424</v>
      </c>
      <c r="AO101" s="29">
        <v>3393.8809999999999</v>
      </c>
      <c r="AP101" s="29">
        <v>3384.2869999999998</v>
      </c>
      <c r="AQ101" s="29">
        <v>3319.7539999999999</v>
      </c>
      <c r="AR101" s="29">
        <v>3389.5819999999999</v>
      </c>
      <c r="AS101" s="29">
        <v>3307.0610000000001</v>
      </c>
      <c r="AT101" s="29">
        <v>3297.2849999999999</v>
      </c>
      <c r="AU101" s="29">
        <v>3386.6120000000001</v>
      </c>
      <c r="AV101" s="29">
        <v>3433.5219999999999</v>
      </c>
      <c r="AW101" s="29">
        <v>3351.268</v>
      </c>
    </row>
    <row r="102" spans="1:49" x14ac:dyDescent="0.75">
      <c r="R102" s="14"/>
      <c r="AC102" s="5"/>
      <c r="AD102" s="5"/>
      <c r="AE102" s="5"/>
    </row>
    <row r="103" spans="1:49" x14ac:dyDescent="0.75">
      <c r="A103" s="7"/>
      <c r="B103" s="7">
        <f>D46</f>
        <v>6.9140813731722872E-2</v>
      </c>
      <c r="C103" s="7">
        <f>J46</f>
        <v>6.2018118245390941E-2</v>
      </c>
      <c r="D103" s="7">
        <f>K46</f>
        <v>8.7141767323585473E-2</v>
      </c>
      <c r="E103" s="1">
        <f>E101/$B$42-1</f>
        <v>9.0651938970120804E-2</v>
      </c>
      <c r="F103" s="1">
        <f t="shared" ref="F103:AW103" si="14">F101/$B$42-1</f>
        <v>9.024952320406876E-2</v>
      </c>
      <c r="G103" s="1">
        <f t="shared" si="14"/>
        <v>1.0604259376986613E-2</v>
      </c>
      <c r="H103" s="1">
        <f t="shared" si="14"/>
        <v>8.589701207883027E-2</v>
      </c>
      <c r="I103" s="1">
        <f t="shared" si="14"/>
        <v>8.4647488874761478E-2</v>
      </c>
      <c r="J103" s="1">
        <f t="shared" si="14"/>
        <v>8.4056579783852614E-2</v>
      </c>
      <c r="K103" s="1">
        <f t="shared" si="14"/>
        <v>8.9538143674507298E-2</v>
      </c>
      <c r="L103" s="1">
        <f t="shared" si="14"/>
        <v>7.3161157024793422E-2</v>
      </c>
      <c r="M103" s="1">
        <f t="shared" si="14"/>
        <v>9.5808010171646529E-2</v>
      </c>
      <c r="N103" s="1">
        <f t="shared" si="14"/>
        <v>9.4377622377622261E-2</v>
      </c>
      <c r="O103" s="1">
        <f t="shared" si="14"/>
        <v>2.6983153210425881E-2</v>
      </c>
      <c r="P103" s="1">
        <f t="shared" si="14"/>
        <v>8.5035918626827689E-2</v>
      </c>
      <c r="Q103" s="1">
        <f t="shared" si="14"/>
        <v>8.4796567069294282E-2</v>
      </c>
      <c r="R103" s="1">
        <f t="shared" si="14"/>
        <v>8.0570565797838389E-2</v>
      </c>
      <c r="S103" s="1">
        <f t="shared" si="14"/>
        <v>8.9567069294341994E-2</v>
      </c>
      <c r="T103" s="1">
        <f t="shared" si="14"/>
        <v>8.7679275270184265E-2</v>
      </c>
      <c r="U103" s="1">
        <f t="shared" si="14"/>
        <v>0.11856325492689135</v>
      </c>
      <c r="V103" s="1">
        <f t="shared" si="14"/>
        <v>8.147774952320419E-2</v>
      </c>
      <c r="W103" s="1">
        <f t="shared" si="14"/>
        <v>9.6136999364272224E-2</v>
      </c>
      <c r="X103" s="1">
        <f t="shared" si="14"/>
        <v>5.5204068658614158E-2</v>
      </c>
      <c r="Y103" s="1">
        <f t="shared" si="14"/>
        <v>8.7145581691036256E-2</v>
      </c>
      <c r="Z103" s="1">
        <f t="shared" si="14"/>
        <v>8.2328671328671277E-2</v>
      </c>
      <c r="AA103" s="1">
        <f t="shared" si="14"/>
        <v>9.429370629370637E-2</v>
      </c>
      <c r="AB103" s="1">
        <f t="shared" si="14"/>
        <v>8.5022250476795902E-2</v>
      </c>
      <c r="AC103" s="1">
        <f t="shared" si="14"/>
        <v>7.598410680228862E-2</v>
      </c>
      <c r="AD103" s="1">
        <f t="shared" si="14"/>
        <v>6.0917673235854952E-2</v>
      </c>
      <c r="AE103" s="1">
        <f t="shared" si="14"/>
        <v>0.10486204704386526</v>
      </c>
      <c r="AF103" s="1">
        <f t="shared" si="14"/>
        <v>9.3690718372536619E-2</v>
      </c>
      <c r="AG103" s="1">
        <f t="shared" si="14"/>
        <v>6.6863318499682078E-2</v>
      </c>
      <c r="AH103" s="1">
        <f t="shared" si="14"/>
        <v>9.3734265734265687E-2</v>
      </c>
      <c r="AI103" s="1">
        <f t="shared" si="14"/>
        <v>8.4142403051493897E-2</v>
      </c>
      <c r="AJ103" s="1">
        <f t="shared" si="14"/>
        <v>0.11529847425301964</v>
      </c>
      <c r="AK103" s="1">
        <f t="shared" si="14"/>
        <v>8.9930705657978338E-2</v>
      </c>
      <c r="AL103" s="1">
        <f t="shared" si="14"/>
        <v>-1.2066751430387823E-2</v>
      </c>
      <c r="AM103" s="1">
        <f t="shared" si="14"/>
        <v>3.4653528289891877E-3</v>
      </c>
      <c r="AN103" s="1">
        <f t="shared" si="14"/>
        <v>8.023649078194528E-2</v>
      </c>
      <c r="AO103" s="1">
        <f t="shared" si="14"/>
        <v>7.8792434837889447E-2</v>
      </c>
      <c r="AP103" s="1">
        <f t="shared" si="14"/>
        <v>7.5742848061029822E-2</v>
      </c>
      <c r="AQ103" s="1">
        <f t="shared" si="14"/>
        <v>5.5230133502860657E-2</v>
      </c>
      <c r="AR103" s="1">
        <f t="shared" si="14"/>
        <v>7.7425937698665015E-2</v>
      </c>
      <c r="AS103" s="1">
        <f t="shared" si="14"/>
        <v>5.1195486331850004E-2</v>
      </c>
      <c r="AT103" s="1">
        <f t="shared" si="14"/>
        <v>4.8088048315320986E-2</v>
      </c>
      <c r="AU103" s="1">
        <f t="shared" si="14"/>
        <v>7.6481881754609127E-2</v>
      </c>
      <c r="AV103" s="1">
        <f t="shared" si="14"/>
        <v>9.1392879847425279E-2</v>
      </c>
      <c r="AW103" s="1">
        <f t="shared" si="14"/>
        <v>6.5247298156388966E-2</v>
      </c>
    </row>
    <row r="104" spans="1:49" x14ac:dyDescent="0.75">
      <c r="D104" s="1"/>
      <c r="AA104" s="10"/>
    </row>
    <row r="105" spans="1:49" x14ac:dyDescent="0.75">
      <c r="B105" s="29"/>
      <c r="D105" s="29"/>
      <c r="AA105" s="1"/>
    </row>
    <row r="106" spans="1:49" x14ac:dyDescent="0.75">
      <c r="B106" s="29"/>
      <c r="C106" s="29"/>
      <c r="D106" s="29"/>
      <c r="E106" s="2" t="s">
        <v>179</v>
      </c>
      <c r="F106" s="55">
        <f>AVERAGE(E103:AW103)</f>
        <v>7.6232273786819224E-2</v>
      </c>
      <c r="G106" s="4"/>
    </row>
    <row r="107" spans="1:49" x14ac:dyDescent="0.75">
      <c r="E107" t="s">
        <v>180</v>
      </c>
      <c r="F107" s="2">
        <f>MEDIAN(E103:AW103)</f>
        <v>8.4142403051493897E-2</v>
      </c>
    </row>
    <row r="109" spans="1:49" x14ac:dyDescent="0.75">
      <c r="B109" s="29"/>
      <c r="D109" s="29" t="s">
        <v>183</v>
      </c>
      <c r="E109" s="3">
        <f>AVERAGE(E101:AW101)</f>
        <v>3385.8267333333329</v>
      </c>
      <c r="M109" s="8"/>
      <c r="O109" s="8"/>
      <c r="P109" s="8"/>
      <c r="R109" s="8"/>
      <c r="T109" s="8"/>
    </row>
    <row r="111" spans="1:49" x14ac:dyDescent="0.75">
      <c r="E111" t="s">
        <v>181</v>
      </c>
      <c r="F111" s="2">
        <f>MAX(E103:AW103)</f>
        <v>0.11856325492689135</v>
      </c>
      <c r="M111" s="16"/>
      <c r="N111" s="2"/>
      <c r="O111" s="16"/>
      <c r="P111" s="16"/>
      <c r="Q111" s="2"/>
      <c r="R111" s="16"/>
      <c r="S111" s="2"/>
      <c r="T111" s="16"/>
    </row>
    <row r="112" spans="1:49" x14ac:dyDescent="0.75">
      <c r="E112" t="s">
        <v>182</v>
      </c>
      <c r="F112" s="2">
        <f>MIN(E103:AW103)</f>
        <v>-1.2066751430387823E-2</v>
      </c>
    </row>
    <row r="120" spans="7:9" x14ac:dyDescent="0.75">
      <c r="G120" s="126" t="s">
        <v>254</v>
      </c>
      <c r="H120" s="30" t="s">
        <v>93</v>
      </c>
      <c r="I120" s="30" t="s">
        <v>94</v>
      </c>
    </row>
    <row r="121" spans="7:9" x14ac:dyDescent="0.75">
      <c r="G121" s="126"/>
      <c r="H121" s="31"/>
      <c r="I121" s="31"/>
    </row>
    <row r="122" spans="7:9" x14ac:dyDescent="0.75">
      <c r="G122" s="126"/>
      <c r="H122" s="33">
        <v>3285.7413543606312</v>
      </c>
      <c r="I122" s="33">
        <v>3442.8562149866466</v>
      </c>
    </row>
    <row r="123" spans="7:9" x14ac:dyDescent="0.75">
      <c r="G123" s="126"/>
      <c r="H123" s="32">
        <v>4.4418739466189239E-2</v>
      </c>
      <c r="I123" s="32">
        <v>9.435989033269121E-2</v>
      </c>
    </row>
    <row r="124" spans="7:9" x14ac:dyDescent="0.75">
      <c r="G124" s="126"/>
      <c r="H124" s="31"/>
      <c r="I124" s="31"/>
    </row>
    <row r="129" spans="3:14" x14ac:dyDescent="0.75">
      <c r="H129">
        <v>8.6999999999999993</v>
      </c>
    </row>
    <row r="130" spans="3:14" x14ac:dyDescent="0.75">
      <c r="H130">
        <v>6.2</v>
      </c>
    </row>
    <row r="137" spans="3:14" x14ac:dyDescent="0.75">
      <c r="N137" s="16"/>
    </row>
    <row r="139" spans="3:14" x14ac:dyDescent="0.75">
      <c r="C139" s="8" t="s">
        <v>86</v>
      </c>
      <c r="F139" s="26">
        <f>B101</f>
        <v>3241</v>
      </c>
      <c r="H139" s="7">
        <f>B103</f>
        <v>6.9140813731722872E-2</v>
      </c>
      <c r="J139" t="s">
        <v>166</v>
      </c>
      <c r="N139" s="16"/>
    </row>
    <row r="141" spans="3:14" x14ac:dyDescent="0.75">
      <c r="C141" s="8" t="s">
        <v>87</v>
      </c>
      <c r="F141" s="26">
        <f>C101</f>
        <v>3241</v>
      </c>
      <c r="H141" s="7">
        <f>C103</f>
        <v>6.2018118245390941E-2</v>
      </c>
      <c r="J141" t="s">
        <v>225</v>
      </c>
      <c r="N141" s="16"/>
    </row>
    <row r="143" spans="3:14" x14ac:dyDescent="0.75">
      <c r="C143" s="8" t="s">
        <v>88</v>
      </c>
      <c r="F143" s="26">
        <f>D101</f>
        <v>3250.3110000000001</v>
      </c>
      <c r="H143" s="7">
        <f>D103</f>
        <v>8.7141767323585473E-2</v>
      </c>
      <c r="J143" t="s">
        <v>176</v>
      </c>
      <c r="N143" s="16"/>
    </row>
    <row r="145" spans="3:15" x14ac:dyDescent="0.75">
      <c r="C145" s="8"/>
      <c r="F145" s="28"/>
      <c r="H145" s="16"/>
    </row>
    <row r="148" spans="3:15" x14ac:dyDescent="0.75">
      <c r="G148" s="127" t="s">
        <v>177</v>
      </c>
      <c r="H148" s="127"/>
      <c r="I148" s="127"/>
      <c r="J148" s="127"/>
      <c r="K148" s="128" t="s">
        <v>178</v>
      </c>
      <c r="L148" s="128"/>
      <c r="M148" s="128"/>
      <c r="N148" s="128"/>
      <c r="O148" s="8"/>
    </row>
    <row r="149" spans="3:15" x14ac:dyDescent="0.75">
      <c r="G149" s="57" t="s">
        <v>149</v>
      </c>
      <c r="H149" s="57" t="s">
        <v>150</v>
      </c>
      <c r="I149" s="57" t="s">
        <v>151</v>
      </c>
      <c r="J149" s="57" t="s">
        <v>152</v>
      </c>
      <c r="K149" s="58"/>
      <c r="L149" s="58" t="s">
        <v>149</v>
      </c>
      <c r="M149" s="58" t="s">
        <v>150</v>
      </c>
      <c r="N149" s="58" t="s">
        <v>151</v>
      </c>
      <c r="O149" s="8" t="s">
        <v>152</v>
      </c>
    </row>
    <row r="150" spans="3:15" x14ac:dyDescent="0.75">
      <c r="F150" t="s">
        <v>184</v>
      </c>
      <c r="G150" s="7">
        <f>D36</f>
        <v>9.0728213290887316E-2</v>
      </c>
      <c r="H150" s="7">
        <f>D37</f>
        <v>6.2691131498471053E-2</v>
      </c>
      <c r="I150" s="7">
        <f>B51</f>
        <v>8.4477890599410355E-2</v>
      </c>
      <c r="J150" s="7">
        <f>B103</f>
        <v>6.9140813731722872E-2</v>
      </c>
      <c r="K150" s="7">
        <f>AVERAGE(G150:J150)</f>
        <v>7.6759512280122899E-2</v>
      </c>
      <c r="L150" s="56">
        <f>B51</f>
        <v>8.4477890599410355E-2</v>
      </c>
      <c r="M150" s="107">
        <f>B103</f>
        <v>6.9140813731722872E-2</v>
      </c>
      <c r="N150" s="5"/>
    </row>
    <row r="151" spans="3:15" x14ac:dyDescent="0.75">
      <c r="F151" t="s">
        <v>186</v>
      </c>
      <c r="G151" s="7">
        <f>D36</f>
        <v>9.0728213290887316E-2</v>
      </c>
      <c r="H151" s="7">
        <f>D37</f>
        <v>6.2691131498471053E-2</v>
      </c>
      <c r="I151" s="7">
        <f>D38</f>
        <v>7.4197120708748621E-2</v>
      </c>
      <c r="J151" s="7">
        <f>D39</f>
        <v>9.9419448476052219E-2</v>
      </c>
      <c r="K151" s="7">
        <f>AVERAGE(G151:J151)</f>
        <v>8.1758978493539802E-2</v>
      </c>
      <c r="L151" s="2">
        <v>9.7000000000000003E-2</v>
      </c>
      <c r="M151" s="2">
        <v>8.2000000000000003E-2</v>
      </c>
      <c r="N151" s="1">
        <v>7.9000000000000001E-2</v>
      </c>
      <c r="O151" s="1">
        <v>5.0999999999999997E-2</v>
      </c>
    </row>
    <row r="152" spans="3:15" x14ac:dyDescent="0.75">
      <c r="F152" t="s">
        <v>187</v>
      </c>
      <c r="J152" s="16"/>
      <c r="K152" s="7">
        <v>6.2E-2</v>
      </c>
      <c r="L152" s="2"/>
      <c r="M152" s="2"/>
      <c r="N152" s="2"/>
    </row>
    <row r="153" spans="3:15" x14ac:dyDescent="0.75">
      <c r="F153" s="129" t="s">
        <v>185</v>
      </c>
      <c r="G153" s="7"/>
      <c r="H153" s="7"/>
      <c r="I153" s="7"/>
      <c r="J153" s="7"/>
      <c r="K153" s="54">
        <f>K150-K152</f>
        <v>1.47595122801229E-2</v>
      </c>
    </row>
    <row r="154" spans="3:15" x14ac:dyDescent="0.75">
      <c r="F154" s="129"/>
      <c r="G154" s="2">
        <f t="shared" ref="G154:L154" si="15">G150-G151</f>
        <v>0</v>
      </c>
      <c r="H154" s="2">
        <f t="shared" si="15"/>
        <v>0</v>
      </c>
      <c r="I154" s="2">
        <f t="shared" si="15"/>
        <v>1.0280769890661734E-2</v>
      </c>
      <c r="J154" s="2">
        <f t="shared" si="15"/>
        <v>-3.0278634744329347E-2</v>
      </c>
      <c r="K154" s="2">
        <f t="shared" si="15"/>
        <v>-4.9994662134169032E-3</v>
      </c>
      <c r="L154" s="2">
        <f t="shared" si="15"/>
        <v>-1.2522109400589648E-2</v>
      </c>
    </row>
    <row r="155" spans="3:15" x14ac:dyDescent="0.75">
      <c r="G155" s="4"/>
      <c r="H155" s="4"/>
      <c r="I155" s="4"/>
      <c r="J155" s="4"/>
    </row>
  </sheetData>
  <mergeCells count="5">
    <mergeCell ref="F70:F74"/>
    <mergeCell ref="G120:G124"/>
    <mergeCell ref="G148:J148"/>
    <mergeCell ref="K148:N148"/>
    <mergeCell ref="F153:F154"/>
  </mergeCells>
  <phoneticPr fontId="8" type="noConversion"/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DCFB0-C3A5-46EF-A89C-1514C54CF849}">
  <dimension ref="A2:M14"/>
  <sheetViews>
    <sheetView workbookViewId="0">
      <selection activeCell="A2" sqref="A2"/>
    </sheetView>
  </sheetViews>
  <sheetFormatPr defaultRowHeight="14.75" x14ac:dyDescent="0.75"/>
  <cols>
    <col min="3" max="3" width="8.86328125" bestFit="1" customWidth="1"/>
  </cols>
  <sheetData>
    <row r="2" spans="1:13" x14ac:dyDescent="0.75">
      <c r="B2" t="s">
        <v>258</v>
      </c>
      <c r="C2" t="s">
        <v>259</v>
      </c>
      <c r="D2" t="s">
        <v>266</v>
      </c>
      <c r="E2" t="s">
        <v>265</v>
      </c>
      <c r="F2" t="s">
        <v>264</v>
      </c>
    </row>
    <row r="3" spans="1:13" x14ac:dyDescent="0.75">
      <c r="A3" s="141">
        <f>C3/D3*100</f>
        <v>3141.1764705882351</v>
      </c>
      <c r="B3" s="105">
        <v>3146</v>
      </c>
      <c r="C3" s="141">
        <v>4806</v>
      </c>
      <c r="D3" s="141">
        <v>153</v>
      </c>
      <c r="E3" s="80">
        <v>4.7945205479452024E-2</v>
      </c>
      <c r="F3" s="2">
        <f>D10</f>
        <v>4.1050426406323837E-2</v>
      </c>
      <c r="G3" s="80"/>
      <c r="H3" s="80"/>
      <c r="I3" s="80"/>
    </row>
    <row r="4" spans="1:13" x14ac:dyDescent="0.75">
      <c r="A4" s="141">
        <f t="shared" ref="A4:A5" si="0">C4/D4*100</f>
        <v>3271.0526315789471</v>
      </c>
      <c r="B4" s="113">
        <v>3274</v>
      </c>
      <c r="C4" s="141">
        <v>4972</v>
      </c>
      <c r="D4" s="141">
        <v>152</v>
      </c>
      <c r="E4" s="80">
        <v>2.7027027027026973E-2</v>
      </c>
      <c r="F4" s="2">
        <f>G10</f>
        <v>5.1728811253456186E-2</v>
      </c>
    </row>
    <row r="5" spans="1:13" x14ac:dyDescent="0.75">
      <c r="A5" s="141">
        <f t="shared" si="0"/>
        <v>3243.8271604938273</v>
      </c>
      <c r="B5" s="102">
        <v>3241</v>
      </c>
      <c r="C5" s="141">
        <v>5255</v>
      </c>
      <c r="D5" s="141">
        <v>162</v>
      </c>
      <c r="E5" s="80">
        <v>8.7248322147650992E-2</v>
      </c>
      <c r="F5" s="2">
        <f>J10</f>
        <v>6.7456487461849735E-2</v>
      </c>
    </row>
    <row r="6" spans="1:13" x14ac:dyDescent="0.75">
      <c r="B6" s="102">
        <v>3310.9110000000001</v>
      </c>
      <c r="C6" s="144">
        <f>B6*D6/100</f>
        <v>5471.6692928859065</v>
      </c>
      <c r="D6" s="143">
        <v>165.26174496644296</v>
      </c>
      <c r="E6" s="142">
        <f>E5</f>
        <v>8.7248322147650992E-2</v>
      </c>
      <c r="F6" s="2">
        <f>M10</f>
        <v>6.7322850004941717E-2</v>
      </c>
    </row>
    <row r="7" spans="1:13" x14ac:dyDescent="0.75">
      <c r="B7" t="s">
        <v>267</v>
      </c>
      <c r="C7" s="145">
        <f>SUM(C3:C6)</f>
        <v>20504.669292885905</v>
      </c>
    </row>
    <row r="8" spans="1:13" x14ac:dyDescent="0.75">
      <c r="B8" t="s">
        <v>262</v>
      </c>
      <c r="C8">
        <v>21512</v>
      </c>
      <c r="D8" s="1">
        <f>C8/C7-1</f>
        <v>4.9126893622399859E-2</v>
      </c>
    </row>
    <row r="9" spans="1:13" x14ac:dyDescent="0.75">
      <c r="A9" t="s">
        <v>263</v>
      </c>
      <c r="B9" s="1">
        <v>4.8478972328930503E-2</v>
      </c>
      <c r="C9" s="1">
        <v>4.9507650540012493E-2</v>
      </c>
      <c r="D9" s="1">
        <v>2.5164656350028514E-2</v>
      </c>
      <c r="E9" s="1">
        <v>3.7744310408021731E-2</v>
      </c>
      <c r="F9" s="1">
        <v>4.9654130038269795E-2</v>
      </c>
      <c r="G9" s="1">
        <v>6.7787993314077033E-2</v>
      </c>
      <c r="H9" s="1">
        <v>7.448307651635977E-2</v>
      </c>
      <c r="I9" s="1">
        <v>6.2532304706540254E-2</v>
      </c>
      <c r="J9" s="1">
        <v>6.535408116264918E-2</v>
      </c>
      <c r="K9" s="1">
        <v>6.270695383382674E-2</v>
      </c>
      <c r="L9" s="1">
        <v>6.892061617601053E-2</v>
      </c>
      <c r="M9" s="1">
        <v>7.0340980004987896E-2</v>
      </c>
    </row>
    <row r="10" spans="1:13" x14ac:dyDescent="0.75">
      <c r="D10" s="2">
        <f>AVERAGE(B9:D9)</f>
        <v>4.1050426406323837E-2</v>
      </c>
      <c r="G10" s="2">
        <f>AVERAGE(E9:G9)</f>
        <v>5.1728811253456186E-2</v>
      </c>
      <c r="J10" s="2">
        <f>AVERAGE(H9:J9)</f>
        <v>6.7456487461849735E-2</v>
      </c>
      <c r="M10" s="2">
        <f>AVERAGE(K9:M9)</f>
        <v>6.7322850004941717E-2</v>
      </c>
    </row>
    <row r="12" spans="1:13" x14ac:dyDescent="0.75">
      <c r="B12" t="s">
        <v>260</v>
      </c>
      <c r="C12">
        <v>17747</v>
      </c>
      <c r="D12">
        <v>20072.134256202786</v>
      </c>
    </row>
    <row r="13" spans="1:13" x14ac:dyDescent="0.75">
      <c r="B13" t="s">
        <v>261</v>
      </c>
      <c r="C13">
        <v>18371</v>
      </c>
    </row>
    <row r="14" spans="1:13" x14ac:dyDescent="0.75">
      <c r="C14" s="80">
        <f>C13/C12-1</f>
        <v>3.5160872260100229E-2</v>
      </c>
    </row>
  </sheetData>
  <phoneticPr fontId="8" type="noConversion"/>
  <conditionalFormatting sqref="A3:A5">
    <cfRule type="cellIs" dxfId="1" priority="2" operator="lessThan">
      <formula>0</formula>
    </cfRule>
  </conditionalFormatting>
  <conditionalFormatting sqref="C3:C5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8"/>
  <sheetViews>
    <sheetView topLeftCell="AD1" workbookViewId="0">
      <selection activeCell="AL13" sqref="AL13"/>
    </sheetView>
  </sheetViews>
  <sheetFormatPr defaultRowHeight="14.75" x14ac:dyDescent="0.75"/>
  <cols>
    <col min="5" max="5" width="26" bestFit="1" customWidth="1"/>
    <col min="6" max="6" width="26.1796875" bestFit="1" customWidth="1"/>
    <col min="7" max="8" width="25.1796875" bestFit="1" customWidth="1"/>
    <col min="9" max="9" width="26.81640625" bestFit="1" customWidth="1"/>
    <col min="10" max="10" width="16" bestFit="1" customWidth="1"/>
    <col min="11" max="11" width="22.453125" bestFit="1" customWidth="1"/>
    <col min="12" max="12" width="23.453125" bestFit="1" customWidth="1"/>
    <col min="13" max="13" width="21" bestFit="1" customWidth="1"/>
    <col min="14" max="14" width="21.1796875" bestFit="1" customWidth="1"/>
    <col min="15" max="15" width="28.26953125" bestFit="1" customWidth="1"/>
    <col min="16" max="16" width="25.1796875" bestFit="1" customWidth="1"/>
    <col min="17" max="17" width="28.26953125" bestFit="1" customWidth="1"/>
    <col min="18" max="18" width="21.453125" bestFit="1" customWidth="1"/>
    <col min="19" max="19" width="24.1796875" bestFit="1" customWidth="1"/>
    <col min="20" max="20" width="15.81640625" bestFit="1" customWidth="1"/>
    <col min="21" max="21" width="23.7265625" bestFit="1" customWidth="1"/>
    <col min="22" max="22" width="26.81640625" bestFit="1" customWidth="1"/>
    <col min="23" max="23" width="21.54296875" bestFit="1" customWidth="1"/>
    <col min="24" max="24" width="23" bestFit="1" customWidth="1"/>
    <col min="25" max="25" width="16" bestFit="1" customWidth="1"/>
    <col min="26" max="26" width="22.7265625" bestFit="1" customWidth="1"/>
    <col min="27" max="27" width="23.26953125" bestFit="1" customWidth="1"/>
    <col min="28" max="28" width="24.453125" bestFit="1" customWidth="1"/>
    <col min="29" max="29" width="27.453125" bestFit="1" customWidth="1"/>
    <col min="30" max="30" width="31" bestFit="1" customWidth="1"/>
    <col min="31" max="31" width="31.54296875" bestFit="1" customWidth="1"/>
    <col min="32" max="32" width="25" bestFit="1" customWidth="1"/>
    <col min="33" max="33" width="19.54296875" bestFit="1" customWidth="1"/>
  </cols>
  <sheetData>
    <row r="1" spans="1:38" x14ac:dyDescent="0.75"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</row>
    <row r="3" spans="1:38" x14ac:dyDescent="0.75"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101</v>
      </c>
      <c r="L3" t="s">
        <v>102</v>
      </c>
      <c r="M3" t="s">
        <v>103</v>
      </c>
      <c r="N3" t="s">
        <v>105</v>
      </c>
      <c r="O3" t="s">
        <v>106</v>
      </c>
      <c r="P3" t="s">
        <v>107</v>
      </c>
      <c r="Q3" t="s">
        <v>108</v>
      </c>
      <c r="R3" t="s">
        <v>109</v>
      </c>
      <c r="S3" t="s">
        <v>110</v>
      </c>
      <c r="T3" t="s">
        <v>111</v>
      </c>
      <c r="U3" t="s">
        <v>112</v>
      </c>
      <c r="V3" t="s">
        <v>113</v>
      </c>
      <c r="W3" t="s">
        <v>114</v>
      </c>
      <c r="X3" t="s">
        <v>115</v>
      </c>
      <c r="Y3" t="s">
        <v>116</v>
      </c>
      <c r="Z3" t="s">
        <v>117</v>
      </c>
      <c r="AA3" t="s">
        <v>118</v>
      </c>
      <c r="AB3" t="s">
        <v>119</v>
      </c>
      <c r="AC3" t="s">
        <v>120</v>
      </c>
      <c r="AD3" t="s">
        <v>121</v>
      </c>
      <c r="AE3" t="s">
        <v>122</v>
      </c>
    </row>
    <row r="4" spans="1:38" x14ac:dyDescent="0.75">
      <c r="A4" t="s">
        <v>91</v>
      </c>
      <c r="E4">
        <v>1838.59716415761</v>
      </c>
      <c r="F4">
        <v>1848.6696225901701</v>
      </c>
      <c r="G4">
        <v>1835.81627000564</v>
      </c>
      <c r="H4">
        <v>1865.0824507857701</v>
      </c>
      <c r="I4">
        <v>1.0039296784206E-2</v>
      </c>
      <c r="J4">
        <v>1.53480349528516E-2</v>
      </c>
      <c r="K4">
        <v>1851.4524394119401</v>
      </c>
      <c r="L4">
        <v>1847.4928747194199</v>
      </c>
      <c r="M4">
        <v>1837.53413085545</v>
      </c>
      <c r="N4">
        <v>1838.9100811963899</v>
      </c>
      <c r="O4">
        <v>1846.4497164419399</v>
      </c>
      <c r="P4">
        <v>1866.8290528223099</v>
      </c>
      <c r="Q4">
        <v>1875.31528009469</v>
      </c>
      <c r="R4">
        <v>1822.02337354919</v>
      </c>
      <c r="S4">
        <v>1845.88415222973</v>
      </c>
      <c r="T4">
        <v>1830.89954046458</v>
      </c>
      <c r="U4">
        <v>1846.5512657839599</v>
      </c>
      <c r="V4">
        <v>1838.3597622710399</v>
      </c>
      <c r="W4">
        <v>1839.73672623168</v>
      </c>
      <c r="X4">
        <v>1840.59640676087</v>
      </c>
      <c r="Y4">
        <v>1858.4769001227401</v>
      </c>
      <c r="Z4">
        <v>1860.11787487779</v>
      </c>
      <c r="AA4">
        <v>1881.794248274</v>
      </c>
      <c r="AB4">
        <v>1826.06898851541</v>
      </c>
      <c r="AC4">
        <v>1862.8750348645899</v>
      </c>
      <c r="AD4">
        <v>1831.31939157229</v>
      </c>
      <c r="AE4">
        <v>1843.94630442323</v>
      </c>
    </row>
    <row r="5" spans="1:38" x14ac:dyDescent="0.75">
      <c r="A5" t="s">
        <v>123</v>
      </c>
      <c r="E5">
        <v>1865.3886470735399</v>
      </c>
      <c r="F5">
        <v>1874.0404167894801</v>
      </c>
      <c r="G5">
        <v>1856.3327662316799</v>
      </c>
      <c r="H5">
        <v>1885.4624018517</v>
      </c>
      <c r="I5">
        <v>1.29279358579657E-2</v>
      </c>
      <c r="J5">
        <v>1.8823010339176799E-2</v>
      </c>
      <c r="K5">
        <v>1889.0157121982099</v>
      </c>
      <c r="L5">
        <v>1859.0491138586899</v>
      </c>
      <c r="M5">
        <v>1867.42812205976</v>
      </c>
      <c r="N5">
        <v>1871.4845361769301</v>
      </c>
      <c r="O5">
        <v>1873.1390918111799</v>
      </c>
      <c r="P5">
        <v>1880.9752969216399</v>
      </c>
      <c r="Q5">
        <v>1884.19786787629</v>
      </c>
      <c r="R5">
        <v>1854.59069715897</v>
      </c>
      <c r="S5">
        <v>1875.30310983206</v>
      </c>
      <c r="T5">
        <v>1863.52124579007</v>
      </c>
      <c r="U5">
        <v>1875.9817060448099</v>
      </c>
      <c r="V5">
        <v>1859.4796326529199</v>
      </c>
      <c r="W5">
        <v>1872.03340314354</v>
      </c>
      <c r="X5">
        <v>1864.67744088674</v>
      </c>
      <c r="Y5">
        <v>1891.2069536889201</v>
      </c>
      <c r="Z5">
        <v>1877.80322180141</v>
      </c>
      <c r="AA5">
        <v>1864.7152313399399</v>
      </c>
      <c r="AB5">
        <v>1860.63952788245</v>
      </c>
      <c r="AC5">
        <v>1896.07561271336</v>
      </c>
      <c r="AD5">
        <v>1855.4095602176101</v>
      </c>
      <c r="AE5">
        <v>1871.07809004777</v>
      </c>
    </row>
    <row r="6" spans="1:38" ht="29.5" x14ac:dyDescent="0.75">
      <c r="B6" t="s">
        <v>125</v>
      </c>
      <c r="C6" t="s">
        <v>124</v>
      </c>
      <c r="D6" t="s">
        <v>90</v>
      </c>
      <c r="E6" s="19" t="s">
        <v>69</v>
      </c>
      <c r="F6" s="19" t="s">
        <v>70</v>
      </c>
      <c r="G6" s="19" t="s">
        <v>52</v>
      </c>
      <c r="H6" s="20" t="s">
        <v>51</v>
      </c>
      <c r="I6" s="21" t="s">
        <v>54</v>
      </c>
      <c r="J6" s="19" t="s">
        <v>71</v>
      </c>
      <c r="K6" s="21" t="s">
        <v>72</v>
      </c>
      <c r="L6" s="22" t="s">
        <v>73</v>
      </c>
      <c r="M6" s="21" t="s">
        <v>55</v>
      </c>
      <c r="N6" s="21" t="s">
        <v>56</v>
      </c>
      <c r="O6" s="19" t="s">
        <v>61</v>
      </c>
      <c r="P6" s="21" t="s">
        <v>57</v>
      </c>
      <c r="Q6" s="21" t="s">
        <v>58</v>
      </c>
      <c r="R6" s="19" t="s">
        <v>74</v>
      </c>
      <c r="S6" s="21" t="s">
        <v>59</v>
      </c>
      <c r="T6" s="19" t="s">
        <v>75</v>
      </c>
      <c r="U6" s="19" t="s">
        <v>76</v>
      </c>
      <c r="V6" s="21" t="s">
        <v>77</v>
      </c>
      <c r="W6" s="21" t="s">
        <v>78</v>
      </c>
      <c r="X6" s="11" t="s">
        <v>64</v>
      </c>
      <c r="Y6" s="11" t="s">
        <v>65</v>
      </c>
      <c r="Z6" s="11" t="s">
        <v>66</v>
      </c>
      <c r="AA6" s="19" t="s">
        <v>79</v>
      </c>
      <c r="AB6" s="19" t="s">
        <v>80</v>
      </c>
      <c r="AC6" s="19" t="s">
        <v>81</v>
      </c>
      <c r="AD6" s="19" t="s">
        <v>82</v>
      </c>
      <c r="AE6" s="19" t="s">
        <v>53</v>
      </c>
      <c r="AF6" s="21" t="s">
        <v>83</v>
      </c>
      <c r="AG6" s="21" t="s">
        <v>84</v>
      </c>
      <c r="AH6" s="21" t="s">
        <v>85</v>
      </c>
      <c r="AI6" s="11" t="s">
        <v>67</v>
      </c>
      <c r="AJ6" s="11" t="s">
        <v>60</v>
      </c>
      <c r="AK6" s="8" t="s">
        <v>89</v>
      </c>
      <c r="AL6" s="8" t="s">
        <v>90</v>
      </c>
    </row>
    <row r="7" spans="1:38" x14ac:dyDescent="0.75">
      <c r="B7">
        <v>1848.42189898522</v>
      </c>
      <c r="C7">
        <v>1855.80713418352</v>
      </c>
      <c r="D7">
        <v>1844.7292813860699</v>
      </c>
      <c r="E7">
        <v>1838.59716415761</v>
      </c>
      <c r="F7">
        <v>1848.6696225901701</v>
      </c>
      <c r="G7">
        <v>1835.81627000564</v>
      </c>
      <c r="H7">
        <v>1865.0824507857701</v>
      </c>
      <c r="I7">
        <v>1865.0824507857701</v>
      </c>
      <c r="J7">
        <v>1834.7525070317199</v>
      </c>
      <c r="K7">
        <v>1839.73672623168</v>
      </c>
      <c r="L7">
        <v>1851.4524394119401</v>
      </c>
      <c r="M7">
        <v>1847.4928747194199</v>
      </c>
      <c r="N7">
        <v>1837.53413085545</v>
      </c>
      <c r="O7">
        <v>1838.9100811963899</v>
      </c>
      <c r="P7">
        <v>1875.31528009469</v>
      </c>
      <c r="Q7">
        <v>1866.8290528223099</v>
      </c>
      <c r="R7">
        <v>1846.4497164419399</v>
      </c>
      <c r="S7">
        <v>1822.02337354919</v>
      </c>
      <c r="T7">
        <v>1845.88415222973</v>
      </c>
      <c r="U7">
        <v>1830.89954046458</v>
      </c>
      <c r="V7">
        <v>1846.5512657839599</v>
      </c>
      <c r="W7">
        <v>1838.3597622710399</v>
      </c>
      <c r="X7">
        <v>1897.21364878035</v>
      </c>
      <c r="Y7">
        <v>1815.9138438575701</v>
      </c>
      <c r="Z7">
        <v>1814.40061958669</v>
      </c>
      <c r="AA7">
        <v>1839.73672623168</v>
      </c>
      <c r="AB7">
        <v>1840.59640676087</v>
      </c>
      <c r="AC7">
        <v>1858.4769001227401</v>
      </c>
      <c r="AD7">
        <v>1860.11787487779</v>
      </c>
      <c r="AE7">
        <v>1881.794248274</v>
      </c>
      <c r="AF7">
        <v>1826.06898851541</v>
      </c>
      <c r="AG7">
        <v>1862.8750348645899</v>
      </c>
      <c r="AH7">
        <v>1831.31939157229</v>
      </c>
      <c r="AJ7">
        <v>1843.94630442323</v>
      </c>
    </row>
    <row r="8" spans="1:38" x14ac:dyDescent="0.75">
      <c r="B8">
        <v>1871.4805230464301</v>
      </c>
      <c r="C8">
        <v>1878.3297323553099</v>
      </c>
      <c r="D8">
        <v>1868.05591839199</v>
      </c>
      <c r="E8">
        <v>1865.3886470735399</v>
      </c>
      <c r="F8">
        <v>1874.0404167894801</v>
      </c>
      <c r="G8">
        <v>1856.3327662316799</v>
      </c>
      <c r="H8">
        <v>1885.4624018517</v>
      </c>
      <c r="I8">
        <v>1885.4624018517</v>
      </c>
      <c r="J8">
        <v>1869.6151530848099</v>
      </c>
      <c r="K8">
        <v>1872.03340314354</v>
      </c>
      <c r="L8">
        <v>1889.0157121982099</v>
      </c>
      <c r="M8">
        <v>1859.0491138586899</v>
      </c>
      <c r="N8">
        <v>1867.42812205976</v>
      </c>
      <c r="O8">
        <v>1871.4845361769301</v>
      </c>
      <c r="P8">
        <v>1884.19786787629</v>
      </c>
      <c r="Q8">
        <v>1880.9752969216399</v>
      </c>
      <c r="R8">
        <v>1873.1390918111799</v>
      </c>
      <c r="S8">
        <v>1854.59069715897</v>
      </c>
      <c r="T8">
        <v>1875.30310983206</v>
      </c>
      <c r="U8">
        <v>1863.52124579007</v>
      </c>
      <c r="V8">
        <v>1875.9817060448099</v>
      </c>
      <c r="W8">
        <v>1859.4796326529199</v>
      </c>
      <c r="X8">
        <v>1922.28119046149</v>
      </c>
      <c r="Y8">
        <v>1868.5936845000999</v>
      </c>
      <c r="Z8">
        <v>1834.3782742491301</v>
      </c>
      <c r="AA8">
        <v>1872.03340314354</v>
      </c>
      <c r="AB8">
        <v>1864.67744088674</v>
      </c>
      <c r="AC8">
        <v>1891.2069536889201</v>
      </c>
      <c r="AD8">
        <v>1877.80322180141</v>
      </c>
      <c r="AE8">
        <v>1864.7152313399399</v>
      </c>
      <c r="AF8">
        <v>1860.63952788245</v>
      </c>
      <c r="AG8">
        <v>1896.07561271336</v>
      </c>
      <c r="AH8">
        <v>1855.4095602176101</v>
      </c>
      <c r="AJ8">
        <v>1871.07809004777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105"/>
  <sheetViews>
    <sheetView zoomScale="116" zoomScaleNormal="116" workbookViewId="0">
      <pane xSplit="1" ySplit="1" topLeftCell="B59" activePane="bottomRight" state="frozen"/>
      <selection pane="topRight" activeCell="B1" sqref="B1"/>
      <selection pane="bottomLeft" activeCell="A2" sqref="A2"/>
      <selection pane="bottomRight" activeCell="K78" sqref="K78"/>
    </sheetView>
  </sheetViews>
  <sheetFormatPr defaultRowHeight="14.75" x14ac:dyDescent="0.75"/>
  <cols>
    <col min="2" max="2" width="14.81640625" bestFit="1" customWidth="1"/>
    <col min="3" max="3" width="25.6328125" customWidth="1"/>
    <col min="4" max="4" width="16.6328125" customWidth="1"/>
    <col min="5" max="5" width="20.1796875" customWidth="1"/>
  </cols>
  <sheetData>
    <row r="1" spans="1:6" x14ac:dyDescent="0.75">
      <c r="B1" t="s">
        <v>188</v>
      </c>
      <c r="C1" t="s">
        <v>226</v>
      </c>
      <c r="D1" t="s">
        <v>189</v>
      </c>
      <c r="E1" t="s">
        <v>228</v>
      </c>
      <c r="F1" t="s">
        <v>227</v>
      </c>
    </row>
    <row r="2" spans="1:6" x14ac:dyDescent="0.75">
      <c r="A2" t="s">
        <v>10</v>
      </c>
      <c r="B2" s="17">
        <v>813</v>
      </c>
      <c r="C2" s="9"/>
      <c r="D2" s="17">
        <v>827.02163477401996</v>
      </c>
    </row>
    <row r="3" spans="1:6" x14ac:dyDescent="0.75">
      <c r="A3" t="s">
        <v>11</v>
      </c>
      <c r="B3" s="18">
        <v>873</v>
      </c>
      <c r="C3" s="9"/>
      <c r="D3" s="18">
        <v>883.68541288871302</v>
      </c>
      <c r="E3" s="1">
        <f>(D3/D2)^4-1</f>
        <v>0.30353669508622727</v>
      </c>
    </row>
    <row r="4" spans="1:6" x14ac:dyDescent="0.75">
      <c r="A4" t="s">
        <v>12</v>
      </c>
      <c r="B4" s="18">
        <v>959</v>
      </c>
      <c r="C4" s="9"/>
      <c r="D4" s="18">
        <v>946.22917126040602</v>
      </c>
      <c r="E4" s="1">
        <f t="shared" ref="E4:E67" si="0">(D4/D3)^4-1</f>
        <v>0.31460290206572572</v>
      </c>
    </row>
    <row r="5" spans="1:6" x14ac:dyDescent="0.75">
      <c r="A5" t="s">
        <v>13</v>
      </c>
      <c r="B5" s="18">
        <v>961</v>
      </c>
      <c r="C5" s="9"/>
      <c r="D5" s="18">
        <v>947.36703705268803</v>
      </c>
      <c r="E5" s="1">
        <f>(D5/D4)^4-1</f>
        <v>4.8187899664751122E-3</v>
      </c>
    </row>
    <row r="6" spans="1:6" x14ac:dyDescent="0.75">
      <c r="A6" t="s">
        <v>14</v>
      </c>
      <c r="B6" s="18">
        <v>922</v>
      </c>
      <c r="C6" s="1">
        <f>B6/B2-1</f>
        <v>0.13407134071340709</v>
      </c>
      <c r="D6" s="18">
        <v>935.98877123602495</v>
      </c>
      <c r="E6" s="1">
        <f t="shared" si="0"/>
        <v>-4.718304657883865E-2</v>
      </c>
      <c r="F6" s="1">
        <f>D6/D2-1</f>
        <v>0.13175850773454045</v>
      </c>
    </row>
    <row r="7" spans="1:6" x14ac:dyDescent="0.75">
      <c r="A7" t="s">
        <v>15</v>
      </c>
      <c r="B7" s="18">
        <v>941</v>
      </c>
      <c r="C7" s="1">
        <f t="shared" ref="C7:C37" si="1">B7/B3-1</f>
        <v>7.7892325315005673E-2</v>
      </c>
      <c r="D7" s="18">
        <v>952.93075733893397</v>
      </c>
      <c r="E7" s="1">
        <f t="shared" si="0"/>
        <v>7.4392144136962823E-2</v>
      </c>
      <c r="F7" s="1">
        <f t="shared" ref="F7:F70" si="2">D7/D3-1</f>
        <v>7.8359723313596641E-2</v>
      </c>
    </row>
    <row r="8" spans="1:6" x14ac:dyDescent="0.75">
      <c r="A8" t="s">
        <v>16</v>
      </c>
      <c r="B8" s="18">
        <v>994</v>
      </c>
      <c r="C8" s="1">
        <f t="shared" si="1"/>
        <v>3.649635036496357E-2</v>
      </c>
      <c r="D8" s="18">
        <v>982.12080323605801</v>
      </c>
      <c r="E8" s="1">
        <f t="shared" si="0"/>
        <v>0.12827317431863983</v>
      </c>
      <c r="F8" s="1">
        <f t="shared" si="2"/>
        <v>3.7931225400547719E-2</v>
      </c>
    </row>
    <row r="9" spans="1:6" x14ac:dyDescent="0.75">
      <c r="A9" t="s">
        <v>17</v>
      </c>
      <c r="B9" s="18">
        <v>1024</v>
      </c>
      <c r="C9" s="1">
        <f t="shared" si="1"/>
        <v>6.5556711758584907E-2</v>
      </c>
      <c r="D9" s="18">
        <v>1009.66156258066</v>
      </c>
      <c r="E9" s="1">
        <f t="shared" si="0"/>
        <v>0.11697551011170582</v>
      </c>
      <c r="F9" s="1">
        <f t="shared" si="2"/>
        <v>6.5755428563119223E-2</v>
      </c>
    </row>
    <row r="10" spans="1:6" x14ac:dyDescent="0.75">
      <c r="A10" t="s">
        <v>18</v>
      </c>
      <c r="B10" s="18">
        <v>1009</v>
      </c>
      <c r="C10" s="1">
        <f t="shared" si="1"/>
        <v>9.4360086767895979E-2</v>
      </c>
      <c r="D10" s="18">
        <v>1020.97459091698</v>
      </c>
      <c r="E10" s="1">
        <f t="shared" si="0"/>
        <v>4.5578015145885553E-2</v>
      </c>
      <c r="F10" s="1">
        <f t="shared" si="2"/>
        <v>9.0797905159403225E-2</v>
      </c>
    </row>
    <row r="11" spans="1:6" x14ac:dyDescent="0.75">
      <c r="A11" t="s">
        <v>19</v>
      </c>
      <c r="B11" s="18">
        <v>1067</v>
      </c>
      <c r="C11" s="1">
        <f t="shared" si="1"/>
        <v>0.13390010626992566</v>
      </c>
      <c r="D11" s="18">
        <v>1082.34384583461</v>
      </c>
      <c r="E11" s="1">
        <f t="shared" si="0"/>
        <v>0.26299395767443356</v>
      </c>
      <c r="F11" s="1">
        <f t="shared" si="2"/>
        <v>0.13580534314692816</v>
      </c>
    </row>
    <row r="12" spans="1:6" x14ac:dyDescent="0.75">
      <c r="A12" t="s">
        <v>20</v>
      </c>
      <c r="B12" s="18">
        <v>1112</v>
      </c>
      <c r="C12" s="1">
        <f t="shared" si="1"/>
        <v>0.11871227364185111</v>
      </c>
      <c r="D12" s="18">
        <v>1100.1304025634699</v>
      </c>
      <c r="E12" s="1">
        <f t="shared" si="0"/>
        <v>6.7371637915877747E-2</v>
      </c>
      <c r="F12" s="1">
        <f t="shared" si="2"/>
        <v>0.12015792653874535</v>
      </c>
    </row>
    <row r="13" spans="1:6" x14ac:dyDescent="0.75">
      <c r="A13" t="s">
        <v>21</v>
      </c>
      <c r="B13" s="18">
        <v>1126</v>
      </c>
      <c r="C13" s="1">
        <f t="shared" si="1"/>
        <v>9.9609375E-2</v>
      </c>
      <c r="D13" s="18">
        <v>1111.12169720518</v>
      </c>
      <c r="E13" s="1">
        <f t="shared" si="0"/>
        <v>4.0566514303509438E-2</v>
      </c>
      <c r="F13" s="1">
        <f t="shared" si="2"/>
        <v>0.10048925143311527</v>
      </c>
    </row>
    <row r="14" spans="1:6" x14ac:dyDescent="0.75">
      <c r="A14" t="s">
        <v>22</v>
      </c>
      <c r="B14" s="18">
        <v>1132</v>
      </c>
      <c r="C14" s="1">
        <f t="shared" si="1"/>
        <v>0.12190287413280476</v>
      </c>
      <c r="D14" s="18">
        <v>1140.8868221621201</v>
      </c>
      <c r="E14" s="1">
        <f t="shared" si="0"/>
        <v>0.11153653543946263</v>
      </c>
      <c r="F14" s="1">
        <f t="shared" si="2"/>
        <v>0.11744879090227101</v>
      </c>
    </row>
    <row r="15" spans="1:6" x14ac:dyDescent="0.75">
      <c r="A15" t="s">
        <v>23</v>
      </c>
      <c r="B15" s="18">
        <v>1120</v>
      </c>
      <c r="C15" s="1">
        <f t="shared" si="1"/>
        <v>4.9671977507029119E-2</v>
      </c>
      <c r="D15" s="18">
        <v>1138.29109021922</v>
      </c>
      <c r="E15" s="1">
        <f t="shared" si="0"/>
        <v>-9.0697399767574183E-3</v>
      </c>
      <c r="F15" s="1">
        <f t="shared" si="2"/>
        <v>5.1690823207359182E-2</v>
      </c>
    </row>
    <row r="16" spans="1:6" x14ac:dyDescent="0.75">
      <c r="A16" t="s">
        <v>24</v>
      </c>
      <c r="B16" s="18">
        <v>1151</v>
      </c>
      <c r="C16" s="1">
        <f t="shared" si="1"/>
        <v>3.5071942446043058E-2</v>
      </c>
      <c r="D16" s="18">
        <v>1140.01505474038</v>
      </c>
      <c r="E16" s="1">
        <f t="shared" si="0"/>
        <v>6.071856170268175E-3</v>
      </c>
      <c r="F16" s="1">
        <f t="shared" si="2"/>
        <v>3.6254476818359693E-2</v>
      </c>
    </row>
    <row r="17" spans="1:6" x14ac:dyDescent="0.75">
      <c r="A17" t="s">
        <v>25</v>
      </c>
      <c r="B17" s="18">
        <v>1179</v>
      </c>
      <c r="C17" s="1">
        <f t="shared" si="1"/>
        <v>4.7069271758436892E-2</v>
      </c>
      <c r="D17" s="18">
        <v>1164.07776122215</v>
      </c>
      <c r="E17" s="1">
        <f t="shared" si="0"/>
        <v>8.7140371133325623E-2</v>
      </c>
      <c r="F17" s="1">
        <f t="shared" si="2"/>
        <v>4.7660003535320294E-2</v>
      </c>
    </row>
    <row r="18" spans="1:6" x14ac:dyDescent="0.75">
      <c r="A18" t="s">
        <v>26</v>
      </c>
      <c r="B18" s="18">
        <v>1190</v>
      </c>
      <c r="C18" s="1">
        <f t="shared" si="1"/>
        <v>5.1236749116607694E-2</v>
      </c>
      <c r="D18" s="18">
        <v>1195.8601187870599</v>
      </c>
      <c r="E18" s="1">
        <f t="shared" si="0"/>
        <v>0.11376498649897848</v>
      </c>
      <c r="F18" s="1">
        <f t="shared" si="2"/>
        <v>4.8184706455596249E-2</v>
      </c>
    </row>
    <row r="19" spans="1:6" x14ac:dyDescent="0.75">
      <c r="A19" t="s">
        <v>27</v>
      </c>
      <c r="B19" s="18">
        <v>1192</v>
      </c>
      <c r="C19" s="1">
        <f t="shared" si="1"/>
        <v>6.4285714285714279E-2</v>
      </c>
      <c r="D19" s="18">
        <v>1212.3381997787201</v>
      </c>
      <c r="E19" s="1">
        <f t="shared" si="0"/>
        <v>5.6266796067045988E-2</v>
      </c>
      <c r="F19" s="1">
        <f t="shared" si="2"/>
        <v>6.5051119345262975E-2</v>
      </c>
    </row>
    <row r="20" spans="1:6" x14ac:dyDescent="0.75">
      <c r="A20" t="s">
        <v>28</v>
      </c>
      <c r="B20" s="18">
        <v>1244</v>
      </c>
      <c r="C20" s="1">
        <f t="shared" si="1"/>
        <v>8.0799304952215545E-2</v>
      </c>
      <c r="D20" s="18">
        <v>1233.9242779563001</v>
      </c>
      <c r="E20" s="1">
        <f t="shared" si="0"/>
        <v>7.3146166126732304E-2</v>
      </c>
      <c r="F20" s="1">
        <f t="shared" si="2"/>
        <v>8.2375423750264742E-2</v>
      </c>
    </row>
    <row r="21" spans="1:6" x14ac:dyDescent="0.75">
      <c r="A21" t="s">
        <v>29</v>
      </c>
      <c r="B21" s="18">
        <v>1294</v>
      </c>
      <c r="C21" s="1">
        <f t="shared" si="1"/>
        <v>9.7540288379982965E-2</v>
      </c>
      <c r="D21" s="18">
        <v>1277.87514305942</v>
      </c>
      <c r="E21" s="1">
        <f t="shared" si="0"/>
        <v>0.15026962810115929</v>
      </c>
      <c r="F21" s="1">
        <f t="shared" si="2"/>
        <v>9.7757543033719418E-2</v>
      </c>
    </row>
    <row r="22" spans="1:6" x14ac:dyDescent="0.75">
      <c r="A22" t="s">
        <v>30</v>
      </c>
      <c r="B22" s="18">
        <v>1291</v>
      </c>
      <c r="C22" s="1">
        <f t="shared" si="1"/>
        <v>8.4873949579831853E-2</v>
      </c>
      <c r="D22" s="18">
        <v>1296.01566372914</v>
      </c>
      <c r="E22" s="1">
        <f t="shared" si="0"/>
        <v>5.8004006284180898E-2</v>
      </c>
      <c r="F22" s="1">
        <f t="shared" si="2"/>
        <v>8.3751889847841099E-2</v>
      </c>
    </row>
    <row r="23" spans="1:6" x14ac:dyDescent="0.75">
      <c r="A23" t="s">
        <v>31</v>
      </c>
      <c r="B23" s="18">
        <v>1263</v>
      </c>
      <c r="C23" s="1">
        <f t="shared" si="1"/>
        <v>5.9563758389261645E-2</v>
      </c>
      <c r="D23" s="18">
        <v>1283.51309064779</v>
      </c>
      <c r="E23" s="1">
        <f t="shared" si="0"/>
        <v>-3.8032924969548021E-2</v>
      </c>
      <c r="F23" s="1">
        <f t="shared" si="2"/>
        <v>5.8708775226303134E-2</v>
      </c>
    </row>
    <row r="24" spans="1:6" x14ac:dyDescent="0.75">
      <c r="A24" t="s">
        <v>32</v>
      </c>
      <c r="B24" s="18">
        <v>1372</v>
      </c>
      <c r="C24" s="1">
        <f t="shared" si="1"/>
        <v>0.10289389067524124</v>
      </c>
      <c r="D24" s="18">
        <v>1362.10918744781</v>
      </c>
      <c r="E24" s="1">
        <f t="shared" si="0"/>
        <v>0.26837151272466109</v>
      </c>
      <c r="F24" s="1">
        <f t="shared" si="2"/>
        <v>0.10388393500435655</v>
      </c>
    </row>
    <row r="25" spans="1:6" x14ac:dyDescent="0.75">
      <c r="A25" t="s">
        <v>33</v>
      </c>
      <c r="B25" s="18">
        <v>1385</v>
      </c>
      <c r="C25" s="1">
        <f t="shared" si="1"/>
        <v>7.0324574961360131E-2</v>
      </c>
      <c r="D25" s="18">
        <v>1368.4059873896199</v>
      </c>
      <c r="E25" s="1">
        <f t="shared" si="0"/>
        <v>1.8619941133842133E-2</v>
      </c>
      <c r="F25" s="1">
        <f t="shared" si="2"/>
        <v>7.0844827698468116E-2</v>
      </c>
    </row>
    <row r="26" spans="1:6" x14ac:dyDescent="0.75">
      <c r="A26" t="s">
        <v>34</v>
      </c>
      <c r="B26" s="18">
        <v>1399</v>
      </c>
      <c r="C26" s="1">
        <f t="shared" si="1"/>
        <v>8.3656080557707124E-2</v>
      </c>
      <c r="D26" s="18">
        <v>1405.3756364037899</v>
      </c>
      <c r="E26" s="1">
        <f t="shared" si="0"/>
        <v>0.1125251008620658</v>
      </c>
      <c r="F26" s="1">
        <f t="shared" si="2"/>
        <v>8.4381675110298371E-2</v>
      </c>
    </row>
    <row r="27" spans="1:6" x14ac:dyDescent="0.75">
      <c r="A27" t="s">
        <v>35</v>
      </c>
      <c r="B27" s="18">
        <v>1398</v>
      </c>
      <c r="C27" s="1">
        <f t="shared" si="1"/>
        <v>0.10688836104513055</v>
      </c>
      <c r="D27" s="18">
        <v>1504.5229999999999</v>
      </c>
      <c r="E27" s="1">
        <f t="shared" si="0"/>
        <v>0.31348659177065707</v>
      </c>
      <c r="F27" s="1">
        <f t="shared" si="2"/>
        <v>0.17219139482299006</v>
      </c>
    </row>
    <row r="28" spans="1:6" x14ac:dyDescent="0.75">
      <c r="A28" t="s">
        <v>36</v>
      </c>
      <c r="B28" s="18">
        <v>1471</v>
      </c>
      <c r="C28" s="1">
        <f t="shared" si="1"/>
        <v>7.2157434402332354E-2</v>
      </c>
      <c r="D28" s="18">
        <v>1531.9760000000001</v>
      </c>
      <c r="E28" s="1">
        <f t="shared" si="0"/>
        <v>7.5010042965263812E-2</v>
      </c>
      <c r="F28" s="1">
        <f t="shared" si="2"/>
        <v>0.12470866074288089</v>
      </c>
    </row>
    <row r="29" spans="1:6" x14ac:dyDescent="0.75">
      <c r="A29" t="s">
        <v>37</v>
      </c>
      <c r="B29" s="18">
        <v>1502</v>
      </c>
      <c r="C29" s="1">
        <f t="shared" si="1"/>
        <v>8.4476534296028971E-2</v>
      </c>
      <c r="D29" s="18">
        <v>1561.441</v>
      </c>
      <c r="E29" s="1">
        <f t="shared" si="0"/>
        <v>7.9181442098580357E-2</v>
      </c>
      <c r="F29" s="1">
        <f t="shared" si="2"/>
        <v>0.14106560069838259</v>
      </c>
    </row>
    <row r="30" spans="1:6" x14ac:dyDescent="0.75">
      <c r="A30" t="s">
        <v>38</v>
      </c>
      <c r="B30" s="18">
        <v>1465</v>
      </c>
      <c r="C30" s="1">
        <f t="shared" si="1"/>
        <v>4.7176554681915617E-2</v>
      </c>
      <c r="D30" s="18">
        <v>1582.357</v>
      </c>
      <c r="E30" s="1">
        <f t="shared" si="0"/>
        <v>5.4667529171080087E-2</v>
      </c>
      <c r="F30" s="1">
        <f t="shared" si="2"/>
        <v>0.12593171463331099</v>
      </c>
    </row>
    <row r="31" spans="1:6" x14ac:dyDescent="0.75">
      <c r="A31" t="s">
        <v>39</v>
      </c>
      <c r="B31" s="18">
        <v>1504.213</v>
      </c>
      <c r="C31" s="1">
        <f t="shared" si="1"/>
        <v>7.5974964234620801E-2</v>
      </c>
      <c r="D31" s="18">
        <v>1504.5229999999999</v>
      </c>
      <c r="E31" s="1">
        <f t="shared" si="0"/>
        <v>-0.18270764841128162</v>
      </c>
      <c r="F31" s="1">
        <f t="shared" si="2"/>
        <v>0</v>
      </c>
    </row>
    <row r="32" spans="1:6" x14ac:dyDescent="0.75">
      <c r="A32" t="s">
        <v>40</v>
      </c>
      <c r="B32" s="18">
        <v>1536.4259999999999</v>
      </c>
      <c r="C32" s="1">
        <f t="shared" si="1"/>
        <v>4.4477226376614443E-2</v>
      </c>
      <c r="D32" s="18">
        <v>1531.9760000000001</v>
      </c>
      <c r="E32" s="1">
        <f t="shared" si="0"/>
        <v>7.5010042965263812E-2</v>
      </c>
      <c r="F32" s="1">
        <f t="shared" si="2"/>
        <v>0</v>
      </c>
    </row>
    <row r="33" spans="1:6" x14ac:dyDescent="0.75">
      <c r="A33" t="s">
        <v>41</v>
      </c>
      <c r="B33" s="18">
        <v>1565.115</v>
      </c>
      <c r="C33" s="1">
        <f t="shared" si="1"/>
        <v>4.2020639147802852E-2</v>
      </c>
      <c r="D33" s="18">
        <v>1561.441</v>
      </c>
      <c r="E33" s="1">
        <f t="shared" si="0"/>
        <v>7.9181442098580357E-2</v>
      </c>
      <c r="F33" s="1">
        <f t="shared" si="2"/>
        <v>0</v>
      </c>
    </row>
    <row r="34" spans="1:6" x14ac:dyDescent="0.75">
      <c r="A34" t="s">
        <v>42</v>
      </c>
      <c r="B34" s="18">
        <v>1574.5039999999999</v>
      </c>
      <c r="C34" s="1">
        <f t="shared" si="1"/>
        <v>7.4746757679180931E-2</v>
      </c>
      <c r="D34" s="18">
        <v>1582.357</v>
      </c>
      <c r="E34" s="1">
        <f t="shared" si="0"/>
        <v>5.4667529171080087E-2</v>
      </c>
      <c r="F34" s="1">
        <f t="shared" si="2"/>
        <v>0</v>
      </c>
    </row>
    <row r="35" spans="1:6" x14ac:dyDescent="0.75">
      <c r="A35" t="s">
        <v>43</v>
      </c>
      <c r="B35" s="18">
        <v>1609.953</v>
      </c>
      <c r="C35" s="1">
        <f t="shared" si="1"/>
        <v>7.0295895594573388E-2</v>
      </c>
      <c r="D35" s="18">
        <v>1610.509</v>
      </c>
      <c r="E35" s="1">
        <f t="shared" si="0"/>
        <v>7.3086506961154818E-2</v>
      </c>
      <c r="F35" s="1">
        <f t="shared" si="2"/>
        <v>7.0444918422649661E-2</v>
      </c>
    </row>
    <row r="36" spans="1:6" x14ac:dyDescent="0.75">
      <c r="A36" t="s">
        <v>44</v>
      </c>
      <c r="B36" s="18">
        <v>1639.6020000000001</v>
      </c>
      <c r="C36" s="1">
        <f t="shared" si="1"/>
        <v>6.7153250465691317E-2</v>
      </c>
      <c r="D36" s="18">
        <v>1634.8</v>
      </c>
      <c r="E36" s="1">
        <f t="shared" si="0"/>
        <v>6.1709960272853692E-2</v>
      </c>
      <c r="F36" s="1">
        <f t="shared" si="2"/>
        <v>6.7118544938040703E-2</v>
      </c>
    </row>
    <row r="37" spans="1:6" ht="15.5" thickBot="1" x14ac:dyDescent="0.9">
      <c r="A37" t="s">
        <v>45</v>
      </c>
      <c r="B37" s="18">
        <v>1661.5150000000001</v>
      </c>
      <c r="C37" s="1">
        <f t="shared" si="1"/>
        <v>6.1592918092280735E-2</v>
      </c>
      <c r="D37" s="18">
        <v>1657.6610000000001</v>
      </c>
      <c r="E37" s="1">
        <f t="shared" si="0"/>
        <v>5.7120179990010511E-2</v>
      </c>
      <c r="F37" s="1">
        <f t="shared" si="2"/>
        <v>6.1622565309864541E-2</v>
      </c>
    </row>
    <row r="38" spans="1:6" x14ac:dyDescent="0.75">
      <c r="A38" t="s">
        <v>0</v>
      </c>
      <c r="B38" s="39">
        <v>1677</v>
      </c>
      <c r="C38" s="1">
        <f>B38/B34-1</f>
        <v>6.5097325888025859E-2</v>
      </c>
      <c r="D38" s="18">
        <v>1687.271</v>
      </c>
      <c r="E38" s="1">
        <f t="shared" si="0"/>
        <v>7.3387390042005451E-2</v>
      </c>
      <c r="F38" s="1">
        <f t="shared" si="2"/>
        <v>6.6302357811795831E-2</v>
      </c>
    </row>
    <row r="39" spans="1:6" x14ac:dyDescent="0.75">
      <c r="A39" t="s">
        <v>1</v>
      </c>
      <c r="B39" s="43">
        <v>1723</v>
      </c>
      <c r="C39" s="1">
        <f t="shared" ref="C39:C80" si="3">B39/B35-1</f>
        <v>7.0217577780220974E-2</v>
      </c>
      <c r="D39" s="18">
        <v>1714.5450000000001</v>
      </c>
      <c r="E39" s="1">
        <f t="shared" si="0"/>
        <v>6.6242977646705503E-2</v>
      </c>
      <c r="F39" s="1">
        <f t="shared" si="2"/>
        <v>6.4598210876188888E-2</v>
      </c>
    </row>
    <row r="40" spans="1:6" x14ac:dyDescent="0.75">
      <c r="A40" t="s">
        <v>2</v>
      </c>
      <c r="B40" s="43">
        <v>1775</v>
      </c>
      <c r="C40" s="1">
        <f t="shared" si="3"/>
        <v>8.2579796804346461E-2</v>
      </c>
      <c r="D40" s="18">
        <v>1745.356</v>
      </c>
      <c r="E40" s="1">
        <f t="shared" si="0"/>
        <v>7.3842382696094555E-2</v>
      </c>
      <c r="F40" s="1">
        <f t="shared" si="2"/>
        <v>6.7626620993393782E-2</v>
      </c>
    </row>
    <row r="41" spans="1:6" x14ac:dyDescent="0.75">
      <c r="A41" t="s">
        <v>3</v>
      </c>
      <c r="B41" s="43">
        <v>1807</v>
      </c>
      <c r="C41" s="1">
        <f t="shared" si="3"/>
        <v>8.7561653069638146E-2</v>
      </c>
      <c r="D41" s="18">
        <v>1775.085</v>
      </c>
      <c r="E41" s="1">
        <f t="shared" si="0"/>
        <v>6.9893436209120141E-2</v>
      </c>
      <c r="F41" s="1">
        <f t="shared" si="2"/>
        <v>7.0837161518549241E-2</v>
      </c>
    </row>
    <row r="42" spans="1:6" x14ac:dyDescent="0.75">
      <c r="A42" t="s">
        <v>4</v>
      </c>
      <c r="B42" s="43">
        <v>1857</v>
      </c>
      <c r="C42" s="1">
        <f t="shared" si="3"/>
        <v>0.10733452593917714</v>
      </c>
      <c r="D42" s="18">
        <v>1796.7560000000001</v>
      </c>
      <c r="E42" s="1">
        <f t="shared" si="0"/>
        <v>4.973529299330437E-2</v>
      </c>
      <c r="F42" s="1">
        <f t="shared" si="2"/>
        <v>6.4888805651255765E-2</v>
      </c>
    </row>
    <row r="43" spans="1:6" x14ac:dyDescent="0.75">
      <c r="A43" t="s">
        <v>5</v>
      </c>
      <c r="B43" s="43">
        <v>1870</v>
      </c>
      <c r="C43" s="1">
        <f t="shared" si="3"/>
        <v>8.5316308763784043E-2</v>
      </c>
      <c r="D43" s="18">
        <v>1824.8230000000001</v>
      </c>
      <c r="E43" s="1">
        <f t="shared" si="0"/>
        <v>6.3963107827772259E-2</v>
      </c>
      <c r="F43" s="1">
        <f t="shared" si="2"/>
        <v>6.4319105068691762E-2</v>
      </c>
    </row>
    <row r="44" spans="1:6" x14ac:dyDescent="0.75">
      <c r="A44" t="s">
        <v>6</v>
      </c>
      <c r="B44" s="43">
        <v>1832</v>
      </c>
      <c r="C44" s="1">
        <f t="shared" si="3"/>
        <v>3.2112676056337941E-2</v>
      </c>
      <c r="D44" s="18">
        <v>1843.16</v>
      </c>
      <c r="E44" s="1">
        <f t="shared" si="0"/>
        <v>4.0804503807042147E-2</v>
      </c>
      <c r="F44" s="1">
        <f t="shared" si="2"/>
        <v>5.6036705405659415E-2</v>
      </c>
    </row>
    <row r="45" spans="1:6" x14ac:dyDescent="0.75">
      <c r="A45" t="s">
        <v>7</v>
      </c>
      <c r="B45" s="43">
        <v>1841</v>
      </c>
      <c r="C45" s="1">
        <f t="shared" si="3"/>
        <v>1.8815716657443193E-2</v>
      </c>
      <c r="D45" s="18">
        <v>1861.6020000000001</v>
      </c>
      <c r="E45" s="1">
        <f t="shared" si="0"/>
        <v>4.0627264020686837E-2</v>
      </c>
      <c r="F45" s="1">
        <f t="shared" si="2"/>
        <v>4.8739637820160775E-2</v>
      </c>
    </row>
    <row r="46" spans="1:6" x14ac:dyDescent="0.75">
      <c r="A46" t="s">
        <v>9</v>
      </c>
      <c r="B46" s="43">
        <v>1862</v>
      </c>
      <c r="C46" s="1">
        <f t="shared" si="3"/>
        <v>2.692514808831481E-3</v>
      </c>
      <c r="D46" s="18">
        <v>1895.4749999999999</v>
      </c>
      <c r="E46" s="1">
        <f t="shared" si="0"/>
        <v>7.4793164144567381E-2</v>
      </c>
      <c r="F46" s="1">
        <f t="shared" si="2"/>
        <v>5.4942908219034692E-2</v>
      </c>
    </row>
    <row r="47" spans="1:6" x14ac:dyDescent="0.75">
      <c r="A47" t="s">
        <v>46</v>
      </c>
      <c r="B47" s="43">
        <v>1904</v>
      </c>
      <c r="C47" s="1">
        <f t="shared" si="3"/>
        <v>1.8181818181818077E-2</v>
      </c>
      <c r="D47" s="18">
        <v>1938.269</v>
      </c>
      <c r="E47" s="1">
        <f t="shared" si="0"/>
        <v>9.3412303448241474E-2</v>
      </c>
      <c r="F47" s="1">
        <f t="shared" si="2"/>
        <v>6.2168221246663213E-2</v>
      </c>
    </row>
    <row r="48" spans="1:6" x14ac:dyDescent="0.75">
      <c r="A48" t="s">
        <v>47</v>
      </c>
      <c r="B48" s="49">
        <v>1955</v>
      </c>
      <c r="C48" s="1">
        <f t="shared" si="3"/>
        <v>6.7139737991266379E-2</v>
      </c>
      <c r="D48" s="18">
        <v>1964.8309999999999</v>
      </c>
      <c r="E48" s="1">
        <f t="shared" si="0"/>
        <v>5.5953044891263515E-2</v>
      </c>
      <c r="F48" s="1">
        <f t="shared" si="2"/>
        <v>6.6012174743375507E-2</v>
      </c>
    </row>
    <row r="49" spans="1:6" x14ac:dyDescent="0.75">
      <c r="A49" t="s">
        <v>48</v>
      </c>
      <c r="B49" s="49">
        <v>1974</v>
      </c>
      <c r="C49" s="1">
        <f t="shared" si="3"/>
        <v>7.2243346007604625E-2</v>
      </c>
      <c r="D49" s="18">
        <v>1995.86</v>
      </c>
      <c r="E49" s="1">
        <f t="shared" si="0"/>
        <v>6.4680968788099147E-2</v>
      </c>
      <c r="F49" s="1">
        <f t="shared" si="2"/>
        <v>7.2119604512672408E-2</v>
      </c>
    </row>
    <row r="50" spans="1:6" x14ac:dyDescent="0.75">
      <c r="A50" t="s">
        <v>49</v>
      </c>
      <c r="B50" s="49">
        <v>2044</v>
      </c>
      <c r="C50" s="1">
        <f t="shared" si="3"/>
        <v>9.7744360902255689E-2</v>
      </c>
      <c r="D50" s="18">
        <v>2038.1769999999999</v>
      </c>
      <c r="E50" s="1">
        <f t="shared" si="0"/>
        <v>8.7545131047425562E-2</v>
      </c>
      <c r="F50" s="1">
        <f t="shared" si="2"/>
        <v>7.5285614423825198E-2</v>
      </c>
    </row>
    <row r="51" spans="1:6" x14ac:dyDescent="0.75">
      <c r="A51" t="s">
        <v>50</v>
      </c>
      <c r="B51" s="49">
        <v>2053</v>
      </c>
      <c r="C51" s="1">
        <f t="shared" si="3"/>
        <v>7.8256302521008347E-2</v>
      </c>
      <c r="D51" s="18">
        <v>2064.1260000000002</v>
      </c>
      <c r="E51" s="1">
        <f t="shared" si="0"/>
        <v>5.190672458597323E-2</v>
      </c>
      <c r="F51" s="1">
        <f t="shared" si="2"/>
        <v>6.4932679622900835E-2</v>
      </c>
    </row>
    <row r="52" spans="1:6" x14ac:dyDescent="0.75">
      <c r="A52" t="s">
        <v>68</v>
      </c>
      <c r="B52" s="49">
        <v>2094</v>
      </c>
      <c r="C52" s="1">
        <f t="shared" si="3"/>
        <v>7.1099744245524343E-2</v>
      </c>
      <c r="D52" s="18">
        <v>2100.2220000000002</v>
      </c>
      <c r="E52" s="1">
        <f t="shared" si="0"/>
        <v>7.1805537535007513E-2</v>
      </c>
      <c r="F52" s="1">
        <f t="shared" si="2"/>
        <v>6.8907198634386546E-2</v>
      </c>
    </row>
    <row r="53" spans="1:6" x14ac:dyDescent="0.75">
      <c r="A53" t="s">
        <v>91</v>
      </c>
      <c r="B53" s="49">
        <v>2164</v>
      </c>
      <c r="C53" s="1">
        <f t="shared" si="3"/>
        <v>9.6251266464032481E-2</v>
      </c>
      <c r="D53" s="18">
        <v>2127.0450000000001</v>
      </c>
      <c r="E53" s="1">
        <f t="shared" si="0"/>
        <v>5.207305571506593E-2</v>
      </c>
      <c r="F53" s="1">
        <f t="shared" si="2"/>
        <v>6.5728558115298652E-2</v>
      </c>
    </row>
    <row r="54" spans="1:6" x14ac:dyDescent="0.75">
      <c r="A54" t="s">
        <v>123</v>
      </c>
      <c r="B54" s="10">
        <v>2170</v>
      </c>
      <c r="C54" s="1">
        <f t="shared" si="3"/>
        <v>6.164383561643838E-2</v>
      </c>
      <c r="D54" s="18">
        <v>2187.933</v>
      </c>
      <c r="E54" s="1">
        <f t="shared" si="0"/>
        <v>0.11951357156433295</v>
      </c>
      <c r="F54" s="1">
        <f t="shared" si="2"/>
        <v>7.347546361282653E-2</v>
      </c>
    </row>
    <row r="55" spans="1:6" x14ac:dyDescent="0.75">
      <c r="A55" t="s">
        <v>126</v>
      </c>
      <c r="B55" s="10">
        <v>2306</v>
      </c>
      <c r="C55" s="1">
        <f t="shared" si="3"/>
        <v>0.12323429128105201</v>
      </c>
      <c r="D55" s="18">
        <v>2220.491</v>
      </c>
      <c r="E55" s="1">
        <f t="shared" si="0"/>
        <v>6.0864689427293062E-2</v>
      </c>
      <c r="F55" s="1">
        <f t="shared" si="2"/>
        <v>7.5753611940356347E-2</v>
      </c>
    </row>
    <row r="56" spans="1:6" x14ac:dyDescent="0.75">
      <c r="A56" t="s">
        <v>128</v>
      </c>
      <c r="B56" s="10">
        <v>2322</v>
      </c>
      <c r="C56" s="1">
        <f t="shared" si="3"/>
        <v>0.10888252148997135</v>
      </c>
      <c r="D56" s="18">
        <v>2250.0450000000001</v>
      </c>
      <c r="E56" s="1">
        <f t="shared" si="0"/>
        <v>5.4311021775254487E-2</v>
      </c>
      <c r="F56" s="1">
        <f t="shared" si="2"/>
        <v>7.1336744401305996E-2</v>
      </c>
    </row>
    <row r="57" spans="1:6" x14ac:dyDescent="0.75">
      <c r="A57" t="s">
        <v>129</v>
      </c>
      <c r="B57" s="10">
        <v>2347</v>
      </c>
      <c r="C57" s="1">
        <f t="shared" si="3"/>
        <v>8.4565619223659905E-2</v>
      </c>
      <c r="D57" s="18">
        <v>2265.2800000000002</v>
      </c>
      <c r="E57" s="1">
        <f t="shared" si="0"/>
        <v>2.7360223230786795E-2</v>
      </c>
      <c r="F57" s="1">
        <f t="shared" si="2"/>
        <v>6.498922213681424E-2</v>
      </c>
    </row>
    <row r="58" spans="1:6" x14ac:dyDescent="0.75">
      <c r="A58" t="s">
        <v>130</v>
      </c>
      <c r="B58" s="10">
        <v>2249</v>
      </c>
      <c r="C58" s="1">
        <f t="shared" si="3"/>
        <v>3.6405529953916993E-2</v>
      </c>
      <c r="D58" s="18">
        <v>2280.355</v>
      </c>
      <c r="E58" s="1">
        <f t="shared" si="0"/>
        <v>2.6886125406550665E-2</v>
      </c>
      <c r="F58" s="1">
        <f t="shared" si="2"/>
        <v>4.2241695700919513E-2</v>
      </c>
    </row>
    <row r="59" spans="1:6" x14ac:dyDescent="0.75">
      <c r="A59" t="s">
        <v>147</v>
      </c>
      <c r="B59" s="50">
        <v>2019</v>
      </c>
      <c r="C59" s="1">
        <f t="shared" si="3"/>
        <v>-0.12445793581960107</v>
      </c>
      <c r="D59" s="18">
        <v>2200.6799999999998</v>
      </c>
      <c r="E59" s="1">
        <f t="shared" si="0"/>
        <v>-0.13260335575818993</v>
      </c>
      <c r="F59" s="1">
        <f t="shared" si="2"/>
        <v>-8.9219006066676432E-3</v>
      </c>
    </row>
    <row r="60" spans="1:6" x14ac:dyDescent="0.75">
      <c r="A60" t="s">
        <v>148</v>
      </c>
      <c r="B60" s="43">
        <v>2238</v>
      </c>
      <c r="C60" s="1">
        <f t="shared" si="3"/>
        <v>-3.6175710594315236E-2</v>
      </c>
      <c r="D60" s="18">
        <v>2315.6089999999999</v>
      </c>
      <c r="E60" s="1">
        <f t="shared" si="0"/>
        <v>0.22583870335736478</v>
      </c>
      <c r="F60" s="1">
        <f t="shared" si="2"/>
        <v>2.9138972776100003E-2</v>
      </c>
    </row>
    <row r="61" spans="1:6" x14ac:dyDescent="0.75">
      <c r="A61" t="s">
        <v>153</v>
      </c>
      <c r="B61" s="43">
        <v>2331</v>
      </c>
      <c r="C61" s="1">
        <f t="shared" si="3"/>
        <v>-6.817213463996552E-3</v>
      </c>
      <c r="D61" s="18">
        <v>2381.8139999999999</v>
      </c>
      <c r="E61" s="1">
        <f t="shared" si="0"/>
        <v>0.11936174169480096</v>
      </c>
      <c r="F61" s="1">
        <f t="shared" si="2"/>
        <v>5.1443530159626993E-2</v>
      </c>
    </row>
    <row r="62" spans="1:6" x14ac:dyDescent="0.75">
      <c r="A62" t="s">
        <v>154</v>
      </c>
      <c r="B62" s="43">
        <v>2329</v>
      </c>
      <c r="C62" s="1">
        <f t="shared" si="3"/>
        <v>3.5571365051133785E-2</v>
      </c>
      <c r="D62" s="18">
        <v>2406.44</v>
      </c>
      <c r="E62" s="1">
        <f t="shared" si="0"/>
        <v>4.2002537902114723E-2</v>
      </c>
      <c r="F62" s="1">
        <f t="shared" si="2"/>
        <v>5.5291829561625372E-2</v>
      </c>
    </row>
    <row r="63" spans="1:6" x14ac:dyDescent="0.75">
      <c r="A63" t="s">
        <v>155</v>
      </c>
      <c r="B63" s="43">
        <v>2435</v>
      </c>
      <c r="C63" s="1">
        <f t="shared" si="3"/>
        <v>0.20604259534422975</v>
      </c>
      <c r="D63" s="18">
        <v>2501.788</v>
      </c>
      <c r="E63" s="1">
        <f t="shared" si="0"/>
        <v>0.1681587567674323</v>
      </c>
      <c r="F63" s="1">
        <f t="shared" si="2"/>
        <v>0.13682498136939492</v>
      </c>
    </row>
    <row r="64" spans="1:6" x14ac:dyDescent="0.75">
      <c r="A64" t="s">
        <v>156</v>
      </c>
      <c r="B64" s="43">
        <v>2464</v>
      </c>
      <c r="C64" s="1">
        <f t="shared" si="3"/>
        <v>0.10098302055406605</v>
      </c>
      <c r="D64" s="18">
        <v>2501.143</v>
      </c>
      <c r="E64" s="1">
        <f t="shared" si="0"/>
        <v>-1.0308636963108908E-3</v>
      </c>
      <c r="F64" s="1">
        <f t="shared" si="2"/>
        <v>8.0123198692007236E-2</v>
      </c>
    </row>
    <row r="65" spans="1:6" x14ac:dyDescent="0.75">
      <c r="A65" t="s">
        <v>157</v>
      </c>
      <c r="B65" s="43">
        <v>2572</v>
      </c>
      <c r="C65" s="1">
        <f t="shared" si="3"/>
        <v>0.10338910338910345</v>
      </c>
      <c r="D65" s="18">
        <v>2565.6289999999999</v>
      </c>
      <c r="E65" s="1">
        <f t="shared" si="0"/>
        <v>0.10718790444347182</v>
      </c>
      <c r="F65" s="1">
        <f t="shared" si="2"/>
        <v>7.7174372138210545E-2</v>
      </c>
    </row>
    <row r="66" spans="1:6" x14ac:dyDescent="0.75">
      <c r="A66" t="s">
        <v>158</v>
      </c>
      <c r="B66" s="43">
        <v>2513</v>
      </c>
      <c r="C66" s="1">
        <f t="shared" si="3"/>
        <v>7.900386431945039E-2</v>
      </c>
      <c r="D66" s="18">
        <v>2631.7150000000001</v>
      </c>
      <c r="E66" s="1">
        <f t="shared" si="0"/>
        <v>0.10708253551455793</v>
      </c>
      <c r="F66" s="1">
        <f t="shared" si="2"/>
        <v>9.3613387410448556E-2</v>
      </c>
    </row>
    <row r="67" spans="1:6" x14ac:dyDescent="0.75">
      <c r="A67" t="s">
        <v>159</v>
      </c>
      <c r="B67" s="43">
        <v>2616</v>
      </c>
      <c r="C67" s="1">
        <f t="shared" si="3"/>
        <v>7.433264887063662E-2</v>
      </c>
      <c r="D67" s="18">
        <v>2697.26</v>
      </c>
      <c r="E67" s="1">
        <f t="shared" si="0"/>
        <v>0.10340722743898967</v>
      </c>
      <c r="F67" s="1">
        <f t="shared" si="2"/>
        <v>7.81329193360909E-2</v>
      </c>
    </row>
    <row r="68" spans="1:6" x14ac:dyDescent="0.75">
      <c r="A68" t="s">
        <v>160</v>
      </c>
      <c r="B68" s="43">
        <v>2709</v>
      </c>
      <c r="C68" s="1">
        <f t="shared" si="3"/>
        <v>9.9431818181818121E-2</v>
      </c>
      <c r="D68" s="18">
        <v>2753.4479999999999</v>
      </c>
      <c r="E68" s="1">
        <f t="shared" ref="E68:E79" si="4">(D68/D67)^4-1</f>
        <v>8.5966100763131381E-2</v>
      </c>
      <c r="F68" s="1">
        <f t="shared" si="2"/>
        <v>0.10087587954787058</v>
      </c>
    </row>
    <row r="69" spans="1:6" x14ac:dyDescent="0.75">
      <c r="A69" t="s">
        <v>161</v>
      </c>
      <c r="B69" s="43">
        <v>2756</v>
      </c>
      <c r="C69" s="1">
        <f t="shared" si="3"/>
        <v>7.1539657853810334E-2</v>
      </c>
      <c r="D69" s="18">
        <v>2791.7890000000002</v>
      </c>
      <c r="E69" s="1">
        <f t="shared" si="4"/>
        <v>5.6873115906679095E-2</v>
      </c>
      <c r="F69" s="1">
        <f t="shared" si="2"/>
        <v>8.8149923469059699E-2</v>
      </c>
    </row>
    <row r="70" spans="1:6" x14ac:dyDescent="0.75">
      <c r="A70" t="s">
        <v>162</v>
      </c>
      <c r="B70" s="43">
        <v>2741</v>
      </c>
      <c r="C70" s="1">
        <f t="shared" si="3"/>
        <v>9.0728213290887316E-2</v>
      </c>
      <c r="D70" s="18">
        <v>2853.94</v>
      </c>
      <c r="E70" s="1">
        <f t="shared" si="4"/>
        <v>9.2066253209043269E-2</v>
      </c>
      <c r="F70" s="1">
        <f t="shared" si="2"/>
        <v>8.4441134393351769E-2</v>
      </c>
    </row>
    <row r="71" spans="1:6" x14ac:dyDescent="0.75">
      <c r="A71" t="s">
        <v>163</v>
      </c>
      <c r="B71" s="83">
        <v>2780</v>
      </c>
      <c r="C71" s="1">
        <f t="shared" si="3"/>
        <v>6.2691131498471053E-2</v>
      </c>
      <c r="D71" s="18">
        <v>2889.7620000000002</v>
      </c>
      <c r="E71" s="1">
        <f t="shared" si="4"/>
        <v>5.1160298593798448E-2</v>
      </c>
      <c r="F71" s="1">
        <f t="shared" ref="F71:F76" si="5">D71/D67-1</f>
        <v>7.1369463826253199E-2</v>
      </c>
    </row>
    <row r="72" spans="1:6" x14ac:dyDescent="0.75">
      <c r="A72" t="s">
        <v>164</v>
      </c>
      <c r="B72" s="83">
        <v>2910</v>
      </c>
      <c r="C72" s="1">
        <f t="shared" si="3"/>
        <v>7.4197120708748621E-2</v>
      </c>
      <c r="D72" s="18">
        <v>2950.2190000000001</v>
      </c>
      <c r="E72" s="1">
        <f t="shared" si="4"/>
        <v>8.6347374480597372E-2</v>
      </c>
      <c r="F72" s="1">
        <f t="shared" si="5"/>
        <v>7.1463488687638188E-2</v>
      </c>
    </row>
    <row r="73" spans="1:6" ht="15.5" thickBot="1" x14ac:dyDescent="0.9">
      <c r="A73" t="s">
        <v>165</v>
      </c>
      <c r="B73" s="91">
        <v>3030</v>
      </c>
      <c r="C73" s="1">
        <f t="shared" si="3"/>
        <v>9.9419448476052219E-2</v>
      </c>
      <c r="D73" s="18">
        <v>2992.22</v>
      </c>
      <c r="E73" s="1">
        <f t="shared" si="4"/>
        <v>5.8173943476828027E-2</v>
      </c>
      <c r="F73" s="1">
        <f t="shared" si="5"/>
        <v>7.1793033069476042E-2</v>
      </c>
    </row>
    <row r="74" spans="1:6" x14ac:dyDescent="0.75">
      <c r="A74" t="s">
        <v>167</v>
      </c>
      <c r="B74" s="95">
        <v>3006</v>
      </c>
      <c r="C74" s="1">
        <f t="shared" si="3"/>
        <v>9.6680043779642455E-2</v>
      </c>
      <c r="D74" s="18">
        <v>3048.3049999999998</v>
      </c>
      <c r="E74" s="1">
        <f t="shared" si="4"/>
        <v>7.7108834498667678E-2</v>
      </c>
      <c r="F74" s="1">
        <f t="shared" si="5"/>
        <v>6.8104094690147665E-2</v>
      </c>
    </row>
    <row r="75" spans="1:6" x14ac:dyDescent="0.75">
      <c r="A75" t="s">
        <v>170</v>
      </c>
      <c r="B75" s="102">
        <v>3053</v>
      </c>
      <c r="C75" s="1">
        <f t="shared" si="3"/>
        <v>9.8201438848920963E-2</v>
      </c>
      <c r="D75" s="18">
        <v>3113.1779999999999</v>
      </c>
      <c r="E75" s="1">
        <f t="shared" si="4"/>
        <v>8.7882867224857497E-2</v>
      </c>
      <c r="F75" s="1">
        <f t="shared" si="5"/>
        <v>7.731294134257416E-2</v>
      </c>
    </row>
    <row r="76" spans="1:6" x14ac:dyDescent="0.75">
      <c r="A76" t="s">
        <v>192</v>
      </c>
      <c r="B76" s="105">
        <v>3146</v>
      </c>
      <c r="C76" s="1">
        <f t="shared" si="3"/>
        <v>8.109965635738825E-2</v>
      </c>
      <c r="D76" s="102">
        <v>3171.4389999999999</v>
      </c>
      <c r="E76" s="1">
        <f t="shared" si="4"/>
        <v>7.6984961600351509E-2</v>
      </c>
      <c r="F76" s="1">
        <f t="shared" si="5"/>
        <v>7.4984263880071289E-2</v>
      </c>
    </row>
    <row r="77" spans="1:6" x14ac:dyDescent="0.75">
      <c r="A77" t="s">
        <v>241</v>
      </c>
      <c r="B77" s="113">
        <v>3274</v>
      </c>
      <c r="C77" s="1">
        <f t="shared" si="3"/>
        <v>8.0528052805280526E-2</v>
      </c>
      <c r="D77" s="102">
        <v>3234.0160000000001</v>
      </c>
      <c r="E77" s="1">
        <f t="shared" si="4"/>
        <v>8.1292540042115169E-2</v>
      </c>
      <c r="F77" s="1">
        <f>D77/D73-1</f>
        <v>8.0808229341425619E-2</v>
      </c>
    </row>
    <row r="78" spans="1:6" x14ac:dyDescent="0.75">
      <c r="A78" t="s">
        <v>242</v>
      </c>
      <c r="B78" s="102">
        <v>3241</v>
      </c>
      <c r="C78" s="1">
        <f t="shared" si="3"/>
        <v>7.8176979374584121E-2</v>
      </c>
      <c r="D78" s="102">
        <v>3275.4720000000002</v>
      </c>
      <c r="E78" s="1">
        <f t="shared" si="4"/>
        <v>5.22693198943327E-2</v>
      </c>
      <c r="F78" s="1">
        <f>D78/D74-1</f>
        <v>7.4522398513272359E-2</v>
      </c>
    </row>
    <row r="79" spans="1:6" x14ac:dyDescent="0.75">
      <c r="A79" t="s">
        <v>249</v>
      </c>
      <c r="B79" s="102">
        <v>3303.12</v>
      </c>
      <c r="C79" s="1">
        <f>B79/B75-1</f>
        <v>8.1925974451359185E-2</v>
      </c>
      <c r="D79" s="102">
        <v>3318.116</v>
      </c>
      <c r="E79" s="1">
        <f t="shared" si="4"/>
        <v>5.3102621319892407E-2</v>
      </c>
      <c r="F79" s="1">
        <f>D79/D75-1</f>
        <v>6.582919447586999E-2</v>
      </c>
    </row>
    <row r="80" spans="1:6" x14ac:dyDescent="0.75">
      <c r="A80" t="s">
        <v>253</v>
      </c>
      <c r="B80" s="102">
        <v>3348.3870000000002</v>
      </c>
      <c r="C80" s="1">
        <f t="shared" si="3"/>
        <v>6.4331532104259459E-2</v>
      </c>
      <c r="D80" s="102">
        <v>3339.2359999999999</v>
      </c>
      <c r="E80" s="1">
        <f t="shared" ref="E80" si="6">(D80/D79)^4-1</f>
        <v>2.5704347944803585E-2</v>
      </c>
      <c r="F80" s="1">
        <f>D80/D76-1</f>
        <v>5.2908789984609461E-2</v>
      </c>
    </row>
    <row r="89" spans="4:5" x14ac:dyDescent="0.75">
      <c r="D89" t="s">
        <v>154</v>
      </c>
      <c r="E89" s="1">
        <v>4.3553292199839611E-2</v>
      </c>
    </row>
    <row r="90" spans="4:5" x14ac:dyDescent="0.75">
      <c r="D90" t="s">
        <v>155</v>
      </c>
      <c r="E90" s="1">
        <v>0.15031059354530751</v>
      </c>
    </row>
    <row r="91" spans="4:5" x14ac:dyDescent="0.75">
      <c r="D91" t="s">
        <v>156</v>
      </c>
      <c r="E91" s="1">
        <v>8.9877467227611252E-2</v>
      </c>
    </row>
    <row r="92" spans="4:5" x14ac:dyDescent="0.75">
      <c r="D92" t="s">
        <v>157</v>
      </c>
      <c r="E92" s="1">
        <v>8.8985930236873623E-2</v>
      </c>
    </row>
    <row r="93" spans="4:5" x14ac:dyDescent="0.75">
      <c r="D93" t="s">
        <v>158</v>
      </c>
      <c r="E93" s="1">
        <v>0.1037052771335476</v>
      </c>
    </row>
    <row r="94" spans="4:5" x14ac:dyDescent="0.75">
      <c r="D94" t="s">
        <v>159</v>
      </c>
      <c r="E94" s="1">
        <v>8.6200867733137843E-2</v>
      </c>
    </row>
    <row r="95" spans="4:5" x14ac:dyDescent="0.75">
      <c r="D95" t="s">
        <v>160</v>
      </c>
      <c r="E95" s="1">
        <v>0.10674846823982986</v>
      </c>
    </row>
    <row r="96" spans="4:5" x14ac:dyDescent="0.75">
      <c r="D96" t="s">
        <v>161</v>
      </c>
      <c r="E96" s="1">
        <v>8.4905039540090765E-2</v>
      </c>
    </row>
    <row r="97" spans="4:5" x14ac:dyDescent="0.75">
      <c r="D97" t="s">
        <v>162</v>
      </c>
      <c r="E97" s="1">
        <v>8.334847844261084E-2</v>
      </c>
    </row>
    <row r="98" spans="4:5" x14ac:dyDescent="0.75">
      <c r="D98" t="s">
        <v>163</v>
      </c>
      <c r="E98" s="1">
        <v>5.8390191925331791E-2</v>
      </c>
    </row>
    <row r="99" spans="4:5" x14ac:dyDescent="0.75">
      <c r="D99" t="s">
        <v>164</v>
      </c>
      <c r="E99" s="1">
        <v>7.0190009451209567E-2</v>
      </c>
    </row>
    <row r="100" spans="4:5" x14ac:dyDescent="0.75">
      <c r="D100" t="s">
        <v>165</v>
      </c>
      <c r="E100" s="1">
        <v>7.3636211990026013E-2</v>
      </c>
    </row>
    <row r="101" spans="4:5" x14ac:dyDescent="0.75">
      <c r="D101" t="s">
        <v>167</v>
      </c>
      <c r="E101" s="1">
        <v>6.5682716775356642E-2</v>
      </c>
    </row>
    <row r="102" spans="4:5" x14ac:dyDescent="0.75">
      <c r="D102" t="s">
        <v>170</v>
      </c>
      <c r="E102" s="1">
        <v>8.0653961265662266E-2</v>
      </c>
    </row>
    <row r="103" spans="4:5" x14ac:dyDescent="0.75">
      <c r="D103" t="s">
        <v>192</v>
      </c>
      <c r="E103" s="1">
        <v>6.5381564940339087E-2</v>
      </c>
    </row>
    <row r="104" spans="4:5" x14ac:dyDescent="0.75">
      <c r="D104" t="s">
        <v>241</v>
      </c>
      <c r="E104" s="1">
        <v>7.7570038455782475E-2</v>
      </c>
    </row>
    <row r="105" spans="4:5" x14ac:dyDescent="0.75">
      <c r="D105" t="s">
        <v>242</v>
      </c>
      <c r="E105" s="1">
        <v>5.8640123920353115E-2</v>
      </c>
    </row>
  </sheetData>
  <phoneticPr fontId="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E7F0-AA3E-4D9B-B642-07B909A68701}">
  <sheetPr codeName="Sheet4"/>
  <dimension ref="A5:K221"/>
  <sheetViews>
    <sheetView topLeftCell="A13" workbookViewId="0">
      <selection activeCell="K6" sqref="K6:K15"/>
    </sheetView>
  </sheetViews>
  <sheetFormatPr defaultRowHeight="14.75" x14ac:dyDescent="0.75"/>
  <cols>
    <col min="1" max="1" width="32.90625" customWidth="1"/>
    <col min="2" max="2" width="25.90625" customWidth="1"/>
    <col min="5" max="5" width="27.90625" bestFit="1" customWidth="1"/>
    <col min="11" max="11" width="27.6328125" customWidth="1"/>
  </cols>
  <sheetData>
    <row r="5" spans="1:11" x14ac:dyDescent="0.75">
      <c r="A5" t="s">
        <v>193</v>
      </c>
      <c r="B5" t="s">
        <v>194</v>
      </c>
      <c r="C5" t="s">
        <v>195</v>
      </c>
      <c r="D5" t="s">
        <v>196</v>
      </c>
      <c r="E5" t="s">
        <v>197</v>
      </c>
      <c r="F5" t="s">
        <v>198</v>
      </c>
      <c r="G5" t="s">
        <v>199</v>
      </c>
    </row>
    <row r="6" spans="1:11" x14ac:dyDescent="0.75">
      <c r="A6" t="s">
        <v>101</v>
      </c>
      <c r="B6">
        <v>53.336199999999998</v>
      </c>
      <c r="C6">
        <v>43.738849999999999</v>
      </c>
      <c r="D6">
        <v>2.00814</v>
      </c>
      <c r="E6">
        <v>2.0234920000000001</v>
      </c>
      <c r="F6">
        <v>1.4255E-2</v>
      </c>
      <c r="G6">
        <v>0.82143999999999995</v>
      </c>
      <c r="K6" t="s">
        <v>101</v>
      </c>
    </row>
    <row r="7" spans="1:11" x14ac:dyDescent="0.75">
      <c r="A7" t="s">
        <v>221</v>
      </c>
      <c r="B7">
        <v>61.407170000000001</v>
      </c>
      <c r="C7">
        <v>61.230710000000002</v>
      </c>
      <c r="D7">
        <v>2.8108550000000001</v>
      </c>
      <c r="E7">
        <v>2.7734019999999999</v>
      </c>
      <c r="F7">
        <v>1.9196000000000001E-2</v>
      </c>
      <c r="G7">
        <v>1.1183749999999999</v>
      </c>
      <c r="K7" t="s">
        <v>221</v>
      </c>
    </row>
    <row r="8" spans="1:11" x14ac:dyDescent="0.75">
      <c r="A8" t="s">
        <v>113</v>
      </c>
      <c r="B8">
        <v>61.977200000000003</v>
      </c>
      <c r="C8">
        <v>64.25694</v>
      </c>
      <c r="D8">
        <v>3.0141040000000001</v>
      </c>
      <c r="E8">
        <v>3.013064</v>
      </c>
      <c r="F8">
        <v>1.7645000000000001E-2</v>
      </c>
      <c r="G8">
        <v>1.062341</v>
      </c>
      <c r="K8" t="s">
        <v>113</v>
      </c>
    </row>
    <row r="9" spans="1:11" s="14" customFormat="1" x14ac:dyDescent="0.75">
      <c r="A9" t="s">
        <v>102</v>
      </c>
      <c r="B9">
        <v>68.962010000000006</v>
      </c>
      <c r="C9">
        <v>48.092730000000003</v>
      </c>
      <c r="D9">
        <v>2.2695530000000002</v>
      </c>
      <c r="E9">
        <v>2.2372359999999998</v>
      </c>
      <c r="F9">
        <v>1.4321E-2</v>
      </c>
      <c r="G9">
        <v>0.82948</v>
      </c>
      <c r="K9" t="s">
        <v>102</v>
      </c>
    </row>
    <row r="10" spans="1:11" x14ac:dyDescent="0.75">
      <c r="A10" t="s">
        <v>219</v>
      </c>
      <c r="B10">
        <v>69.61712</v>
      </c>
      <c r="C10">
        <v>58.543990000000001</v>
      </c>
      <c r="D10">
        <v>2.61435</v>
      </c>
      <c r="E10">
        <v>2.5712250000000001</v>
      </c>
      <c r="F10">
        <v>1.8591E-2</v>
      </c>
      <c r="G10">
        <v>1.0565880000000001</v>
      </c>
      <c r="K10" t="s">
        <v>219</v>
      </c>
    </row>
    <row r="11" spans="1:11" x14ac:dyDescent="0.75">
      <c r="A11" t="s">
        <v>222</v>
      </c>
      <c r="B11">
        <v>72.686729999999997</v>
      </c>
      <c r="C11">
        <v>65.407839999999993</v>
      </c>
      <c r="D11">
        <v>2.9634049999999998</v>
      </c>
      <c r="E11">
        <v>2.8924820000000002</v>
      </c>
      <c r="F11">
        <v>1.9719E-2</v>
      </c>
      <c r="G11">
        <v>1.1233580000000001</v>
      </c>
      <c r="K11" t="s">
        <v>222</v>
      </c>
    </row>
    <row r="12" spans="1:11" x14ac:dyDescent="0.75">
      <c r="A12" t="s">
        <v>217</v>
      </c>
      <c r="B12">
        <v>79.882649999999998</v>
      </c>
      <c r="C12">
        <v>61.394759999999998</v>
      </c>
      <c r="D12">
        <v>2.8476949999999999</v>
      </c>
      <c r="E12">
        <v>2.8280699999999999</v>
      </c>
      <c r="F12">
        <v>1.8468999999999999E-2</v>
      </c>
      <c r="G12">
        <v>1.0909519999999999</v>
      </c>
      <c r="K12" t="s">
        <v>217</v>
      </c>
    </row>
    <row r="13" spans="1:11" x14ac:dyDescent="0.75">
      <c r="A13" t="s">
        <v>223</v>
      </c>
      <c r="B13">
        <v>80.647220000000004</v>
      </c>
      <c r="C13">
        <v>75.198989999999995</v>
      </c>
      <c r="D13">
        <v>3.555768</v>
      </c>
      <c r="E13">
        <v>3.467076</v>
      </c>
      <c r="F13">
        <v>1.9767E-2</v>
      </c>
      <c r="G13">
        <v>1.2210030000000001</v>
      </c>
      <c r="K13" t="s">
        <v>223</v>
      </c>
    </row>
    <row r="14" spans="1:11" x14ac:dyDescent="0.75">
      <c r="A14" s="89" t="s">
        <v>224</v>
      </c>
      <c r="B14">
        <v>82.897379999999998</v>
      </c>
      <c r="C14">
        <v>65.141850000000005</v>
      </c>
      <c r="D14">
        <v>2.9366310000000002</v>
      </c>
      <c r="E14">
        <v>2.8719809999999999</v>
      </c>
      <c r="F14">
        <v>2.036E-2</v>
      </c>
      <c r="G14">
        <v>1.1806160000000001</v>
      </c>
      <c r="K14" s="89" t="s">
        <v>224</v>
      </c>
    </row>
    <row r="15" spans="1:11" x14ac:dyDescent="0.75">
      <c r="A15" t="s">
        <v>206</v>
      </c>
      <c r="B15">
        <v>83.568780000000004</v>
      </c>
      <c r="C15">
        <v>53.585830000000001</v>
      </c>
      <c r="D15">
        <v>2.4603769999999998</v>
      </c>
      <c r="E15">
        <v>2.4580099999999998</v>
      </c>
      <c r="F15">
        <v>1.6357E-2</v>
      </c>
      <c r="G15">
        <v>0.97065699999999999</v>
      </c>
      <c r="K15" t="s">
        <v>206</v>
      </c>
    </row>
    <row r="16" spans="1:11" x14ac:dyDescent="0.75">
      <c r="A16" t="s">
        <v>207</v>
      </c>
      <c r="B16">
        <v>83.810239999999993</v>
      </c>
      <c r="C16">
        <v>61.608060000000002</v>
      </c>
      <c r="D16">
        <v>2.8653710000000001</v>
      </c>
      <c r="E16">
        <v>2.8624559999999999</v>
      </c>
      <c r="F16">
        <v>1.6618999999999998E-2</v>
      </c>
      <c r="G16">
        <v>0.99845899999999999</v>
      </c>
    </row>
    <row r="17" spans="1:7" x14ac:dyDescent="0.75">
      <c r="A17" t="s">
        <v>210</v>
      </c>
      <c r="B17">
        <v>86.286760000000001</v>
      </c>
      <c r="C17">
        <v>63.305619999999998</v>
      </c>
      <c r="D17">
        <v>2.9447019999999999</v>
      </c>
      <c r="E17">
        <v>3.0080719999999999</v>
      </c>
      <c r="F17">
        <v>1.7217E-2</v>
      </c>
      <c r="G17">
        <v>1.034651</v>
      </c>
    </row>
    <row r="18" spans="1:7" x14ac:dyDescent="0.75">
      <c r="A18" t="s">
        <v>115</v>
      </c>
      <c r="B18">
        <v>86.297510000000003</v>
      </c>
      <c r="C18">
        <v>58.631270000000001</v>
      </c>
      <c r="D18">
        <v>2.7120380000000002</v>
      </c>
      <c r="E18">
        <v>2.6896460000000002</v>
      </c>
      <c r="F18">
        <v>1.8041999999999999E-2</v>
      </c>
      <c r="G18">
        <v>1.059253</v>
      </c>
    </row>
    <row r="19" spans="1:7" x14ac:dyDescent="0.75">
      <c r="A19" t="s">
        <v>122</v>
      </c>
      <c r="B19">
        <v>86.351179999999999</v>
      </c>
      <c r="C19">
        <v>77.240210000000005</v>
      </c>
      <c r="D19">
        <v>3.6670579999999999</v>
      </c>
      <c r="E19">
        <v>3.559593</v>
      </c>
      <c r="F19">
        <v>2.2363000000000001E-2</v>
      </c>
      <c r="G19">
        <v>1.356876</v>
      </c>
    </row>
    <row r="20" spans="1:7" x14ac:dyDescent="0.75">
      <c r="A20" t="s">
        <v>95</v>
      </c>
      <c r="B20">
        <v>88.992310000000003</v>
      </c>
      <c r="C20">
        <v>39.652180000000001</v>
      </c>
      <c r="D20">
        <v>1.7887489999999999</v>
      </c>
      <c r="E20">
        <v>1.776321</v>
      </c>
      <c r="F20">
        <v>1.2056000000000001E-2</v>
      </c>
      <c r="G20">
        <v>0.68112799999999996</v>
      </c>
    </row>
    <row r="21" spans="1:7" x14ac:dyDescent="0.75">
      <c r="A21" t="s">
        <v>107</v>
      </c>
      <c r="B21">
        <v>89.575959999999995</v>
      </c>
      <c r="C21">
        <v>58.212440000000001</v>
      </c>
      <c r="D21">
        <v>2.7220300000000002</v>
      </c>
      <c r="E21">
        <v>2.7093090000000002</v>
      </c>
      <c r="F21">
        <v>1.7264999999999999E-2</v>
      </c>
      <c r="G21">
        <v>1.011177</v>
      </c>
    </row>
    <row r="22" spans="1:7" x14ac:dyDescent="0.75">
      <c r="A22" t="s">
        <v>203</v>
      </c>
      <c r="B22">
        <v>90.0745</v>
      </c>
      <c r="C22">
        <v>50.538989999999998</v>
      </c>
      <c r="D22">
        <v>2.2483059999999999</v>
      </c>
      <c r="E22">
        <v>2.2391519999999998</v>
      </c>
      <c r="F22">
        <v>1.4335000000000001E-2</v>
      </c>
      <c r="G22">
        <v>0.80498400000000003</v>
      </c>
    </row>
    <row r="23" spans="1:7" x14ac:dyDescent="0.75">
      <c r="A23" t="s">
        <v>209</v>
      </c>
      <c r="B23">
        <v>90.254869999999997</v>
      </c>
      <c r="C23">
        <v>52.055759999999999</v>
      </c>
      <c r="D23">
        <v>2.3034330000000001</v>
      </c>
      <c r="E23">
        <v>2.2535539999999998</v>
      </c>
      <c r="F23">
        <v>1.6823999999999999E-2</v>
      </c>
      <c r="G23">
        <v>0.94284299999999999</v>
      </c>
    </row>
    <row r="24" spans="1:7" x14ac:dyDescent="0.75">
      <c r="A24" t="s">
        <v>109</v>
      </c>
      <c r="B24">
        <v>91.494280000000003</v>
      </c>
      <c r="C24">
        <v>56.524419999999999</v>
      </c>
      <c r="D24">
        <v>2.557655</v>
      </c>
      <c r="E24">
        <v>2.5430619999999999</v>
      </c>
      <c r="F24">
        <v>1.7446E-2</v>
      </c>
      <c r="G24">
        <v>1.0121150000000001</v>
      </c>
    </row>
    <row r="25" spans="1:7" x14ac:dyDescent="0.75">
      <c r="A25" t="s">
        <v>218</v>
      </c>
      <c r="B25">
        <v>91.901799999999994</v>
      </c>
      <c r="C25">
        <v>55.608260000000001</v>
      </c>
      <c r="D25">
        <v>2.501233</v>
      </c>
      <c r="E25">
        <v>2.4386570000000001</v>
      </c>
      <c r="F25">
        <v>1.8459E-2</v>
      </c>
      <c r="G25">
        <v>1.059018</v>
      </c>
    </row>
    <row r="26" spans="1:7" x14ac:dyDescent="0.75">
      <c r="A26" s="106" t="s">
        <v>214</v>
      </c>
      <c r="B26" s="14">
        <v>92.001450000000006</v>
      </c>
      <c r="C26" s="14">
        <v>58.643430000000002</v>
      </c>
      <c r="D26" s="14">
        <v>2.7541090000000001</v>
      </c>
      <c r="E26" s="14">
        <v>2.7466390000000001</v>
      </c>
      <c r="F26" s="14">
        <v>1.7493999999999999E-2</v>
      </c>
      <c r="G26" s="14">
        <v>1.044071</v>
      </c>
    </row>
    <row r="27" spans="1:7" x14ac:dyDescent="0.75">
      <c r="A27" t="s">
        <v>211</v>
      </c>
      <c r="B27">
        <v>93.812299999999993</v>
      </c>
      <c r="C27">
        <v>59.513219999999997</v>
      </c>
      <c r="D27">
        <v>2.8281269999999998</v>
      </c>
      <c r="E27">
        <v>2.8279519999999998</v>
      </c>
      <c r="F27">
        <v>1.7115999999999999E-2</v>
      </c>
      <c r="G27">
        <v>1.024635</v>
      </c>
    </row>
    <row r="28" spans="1:7" x14ac:dyDescent="0.75">
      <c r="A28" t="s">
        <v>111</v>
      </c>
      <c r="B28">
        <v>93.923699999999997</v>
      </c>
      <c r="C28">
        <v>61.187379999999997</v>
      </c>
      <c r="D28">
        <v>2.6882139999999999</v>
      </c>
      <c r="E28">
        <v>2.684129</v>
      </c>
      <c r="F28">
        <v>1.7441999999999999E-2</v>
      </c>
      <c r="G28">
        <v>0.95550599999999997</v>
      </c>
    </row>
    <row r="29" spans="1:7" x14ac:dyDescent="0.75">
      <c r="A29" t="s">
        <v>202</v>
      </c>
      <c r="B29">
        <v>94.213560000000001</v>
      </c>
      <c r="C29">
        <v>50.136940000000003</v>
      </c>
      <c r="D29">
        <v>2.1875119999999999</v>
      </c>
      <c r="E29">
        <v>2.1568830000000001</v>
      </c>
      <c r="F29">
        <v>1.4189E-2</v>
      </c>
      <c r="G29">
        <v>0.78309300000000004</v>
      </c>
    </row>
    <row r="30" spans="1:7" x14ac:dyDescent="0.75">
      <c r="A30" t="s">
        <v>100</v>
      </c>
      <c r="B30">
        <v>94.447900000000004</v>
      </c>
      <c r="C30">
        <v>50.140729999999998</v>
      </c>
      <c r="D30">
        <v>2.3373900000000001</v>
      </c>
      <c r="E30">
        <v>2.3765339999999999</v>
      </c>
      <c r="F30">
        <v>1.3735000000000001E-2</v>
      </c>
      <c r="G30">
        <v>0.83649200000000001</v>
      </c>
    </row>
    <row r="31" spans="1:7" x14ac:dyDescent="0.75">
      <c r="A31" t="s">
        <v>96</v>
      </c>
      <c r="B31">
        <v>94.889470000000003</v>
      </c>
      <c r="C31">
        <v>45.427010000000003</v>
      </c>
      <c r="D31">
        <v>2.056136</v>
      </c>
      <c r="E31">
        <v>2.0506989999999998</v>
      </c>
      <c r="F31">
        <v>1.2619999999999999E-2</v>
      </c>
      <c r="G31">
        <v>0.72620799999999996</v>
      </c>
    </row>
    <row r="32" spans="1:7" x14ac:dyDescent="0.75">
      <c r="A32" t="s">
        <v>103</v>
      </c>
      <c r="B32">
        <v>95.067400000000006</v>
      </c>
      <c r="C32">
        <v>52.811610000000002</v>
      </c>
      <c r="D32">
        <v>2.4186619999999999</v>
      </c>
      <c r="E32">
        <v>2.3785539999999998</v>
      </c>
      <c r="F32">
        <v>1.5414000000000001E-2</v>
      </c>
      <c r="G32">
        <v>0.89563899999999996</v>
      </c>
    </row>
    <row r="33" spans="1:7" x14ac:dyDescent="0.75">
      <c r="A33" t="s">
        <v>105</v>
      </c>
      <c r="B33">
        <v>95.879959999999997</v>
      </c>
      <c r="C33">
        <v>52.641539999999999</v>
      </c>
      <c r="D33">
        <v>2.4303940000000002</v>
      </c>
      <c r="E33">
        <v>2.4613499999999999</v>
      </c>
      <c r="F33">
        <v>1.5842999999999999E-2</v>
      </c>
      <c r="G33">
        <v>0.94107300000000005</v>
      </c>
    </row>
    <row r="34" spans="1:7" x14ac:dyDescent="0.75">
      <c r="A34" t="s">
        <v>205</v>
      </c>
      <c r="B34">
        <v>97.231560000000002</v>
      </c>
      <c r="C34">
        <v>53.29421</v>
      </c>
      <c r="D34">
        <v>2.4147919999999998</v>
      </c>
      <c r="E34">
        <v>2.4000530000000002</v>
      </c>
      <c r="F34">
        <v>1.592E-2</v>
      </c>
      <c r="G34">
        <v>0.92336300000000004</v>
      </c>
    </row>
    <row r="35" spans="1:7" x14ac:dyDescent="0.75">
      <c r="A35" t="s">
        <v>200</v>
      </c>
      <c r="B35">
        <v>97.370540000000005</v>
      </c>
      <c r="C35">
        <v>45.635440000000003</v>
      </c>
      <c r="D35">
        <v>1.987228</v>
      </c>
      <c r="E35">
        <v>1.9717469999999999</v>
      </c>
      <c r="F35">
        <v>1.259E-2</v>
      </c>
      <c r="G35">
        <v>0.68738900000000003</v>
      </c>
    </row>
    <row r="36" spans="1:7" x14ac:dyDescent="0.75">
      <c r="A36" s="89" t="s">
        <v>212</v>
      </c>
      <c r="B36">
        <v>98.518929999999997</v>
      </c>
      <c r="C36">
        <v>48.735520000000001</v>
      </c>
      <c r="D36">
        <v>2.1489950000000002</v>
      </c>
      <c r="E36">
        <v>2.1012010000000001</v>
      </c>
      <c r="F36">
        <v>1.7069999999999998E-2</v>
      </c>
      <c r="G36">
        <v>0.96548999999999996</v>
      </c>
    </row>
    <row r="37" spans="1:7" x14ac:dyDescent="0.75">
      <c r="A37" t="s">
        <v>213</v>
      </c>
      <c r="B37">
        <v>99.407759999999996</v>
      </c>
      <c r="C37">
        <v>54.395290000000003</v>
      </c>
      <c r="D37">
        <v>2.4594309999999999</v>
      </c>
      <c r="E37">
        <v>2.4301849999999998</v>
      </c>
      <c r="F37">
        <v>1.7208999999999999E-2</v>
      </c>
      <c r="G37">
        <v>0.997444</v>
      </c>
    </row>
    <row r="38" spans="1:7" x14ac:dyDescent="0.75">
      <c r="A38" t="s">
        <v>215</v>
      </c>
      <c r="B38">
        <v>100.2347</v>
      </c>
      <c r="C38">
        <v>59.057740000000003</v>
      </c>
      <c r="D38">
        <v>2.626757</v>
      </c>
      <c r="E38">
        <v>2.6130599999999999</v>
      </c>
      <c r="F38">
        <v>1.7645999999999998E-2</v>
      </c>
      <c r="G38">
        <v>1.014089</v>
      </c>
    </row>
    <row r="39" spans="1:7" x14ac:dyDescent="0.75">
      <c r="A39" t="s">
        <v>99</v>
      </c>
      <c r="B39">
        <v>102.5406</v>
      </c>
      <c r="C39">
        <v>46.069789999999998</v>
      </c>
      <c r="D39">
        <v>2.1281150000000002</v>
      </c>
      <c r="E39">
        <v>2.1063230000000002</v>
      </c>
      <c r="F39">
        <v>1.2643E-2</v>
      </c>
      <c r="G39">
        <v>0.73240799999999995</v>
      </c>
    </row>
    <row r="40" spans="1:7" x14ac:dyDescent="0.75">
      <c r="A40" t="s">
        <v>216</v>
      </c>
      <c r="B40">
        <v>105.8248</v>
      </c>
      <c r="C40">
        <v>56.867550000000001</v>
      </c>
      <c r="D40">
        <v>2.570198</v>
      </c>
      <c r="E40">
        <v>2.5188600000000001</v>
      </c>
      <c r="F40">
        <v>1.8249000000000001E-2</v>
      </c>
      <c r="G40">
        <v>1.044575</v>
      </c>
    </row>
    <row r="41" spans="1:7" x14ac:dyDescent="0.75">
      <c r="A41" t="s">
        <v>116</v>
      </c>
      <c r="B41">
        <v>108.2598</v>
      </c>
      <c r="C41">
        <v>61.089770000000001</v>
      </c>
      <c r="D41">
        <v>2.7864070000000001</v>
      </c>
      <c r="E41">
        <v>2.7344879999999998</v>
      </c>
      <c r="F41">
        <v>1.7975000000000001E-2</v>
      </c>
      <c r="G41">
        <v>1.026931</v>
      </c>
    </row>
    <row r="42" spans="1:7" x14ac:dyDescent="0.75">
      <c r="A42" s="89" t="s">
        <v>201</v>
      </c>
      <c r="B42">
        <v>109.67400000000001</v>
      </c>
      <c r="C42">
        <v>48.98048</v>
      </c>
      <c r="D42">
        <v>2.238388</v>
      </c>
      <c r="E42">
        <v>2.27244</v>
      </c>
      <c r="F42">
        <v>1.4052E-2</v>
      </c>
      <c r="G42">
        <v>0.812114</v>
      </c>
    </row>
    <row r="43" spans="1:7" x14ac:dyDescent="0.75">
      <c r="A43" t="s">
        <v>220</v>
      </c>
      <c r="B43">
        <v>109.8741</v>
      </c>
      <c r="C43">
        <v>65.828710000000001</v>
      </c>
      <c r="D43">
        <v>3.0783510000000001</v>
      </c>
      <c r="E43">
        <v>3.05924</v>
      </c>
      <c r="F43">
        <v>1.907E-2</v>
      </c>
      <c r="G43">
        <v>1.1340140000000001</v>
      </c>
    </row>
    <row r="44" spans="1:7" x14ac:dyDescent="0.75">
      <c r="A44" s="89" t="s">
        <v>208</v>
      </c>
      <c r="B44">
        <v>113.447</v>
      </c>
      <c r="C44">
        <v>53.57799</v>
      </c>
      <c r="D44">
        <v>2.416293</v>
      </c>
      <c r="E44">
        <v>2.384957</v>
      </c>
      <c r="F44">
        <v>1.6608999999999999E-2</v>
      </c>
      <c r="G44">
        <v>0.96282100000000004</v>
      </c>
    </row>
    <row r="45" spans="1:7" x14ac:dyDescent="0.75">
      <c r="A45" t="s">
        <v>204</v>
      </c>
      <c r="B45">
        <v>118.1846</v>
      </c>
      <c r="C45">
        <v>46.812829999999998</v>
      </c>
      <c r="D45">
        <v>2.1135489999999999</v>
      </c>
      <c r="E45">
        <v>2.0925470000000002</v>
      </c>
      <c r="F45">
        <v>1.5896E-2</v>
      </c>
      <c r="G45">
        <v>0.91138699999999995</v>
      </c>
    </row>
    <row r="46" spans="1:7" x14ac:dyDescent="0.75">
      <c r="A46" t="s">
        <v>118</v>
      </c>
      <c r="B46">
        <v>162.96010000000001</v>
      </c>
      <c r="C46">
        <v>60.67886</v>
      </c>
      <c r="D46">
        <v>2.8338800000000002</v>
      </c>
      <c r="E46">
        <v>2.809069</v>
      </c>
      <c r="F46">
        <v>1.8145999999999999E-2</v>
      </c>
      <c r="G46">
        <v>1.0766720000000001</v>
      </c>
    </row>
    <row r="47" spans="1:7" x14ac:dyDescent="0.75">
      <c r="A47" s="106" t="s">
        <v>117</v>
      </c>
      <c r="B47" s="14">
        <v>187.82040000000001</v>
      </c>
      <c r="C47" s="14">
        <v>60.771259999999998</v>
      </c>
      <c r="D47" s="14">
        <v>2.8020529999999999</v>
      </c>
      <c r="E47" s="14">
        <v>2.745908</v>
      </c>
      <c r="F47" s="14">
        <v>1.7975999999999999E-2</v>
      </c>
      <c r="G47" s="14">
        <v>1.073958</v>
      </c>
    </row>
    <row r="51" spans="10:10" x14ac:dyDescent="0.75">
      <c r="J51" t="s">
        <v>223</v>
      </c>
    </row>
    <row r="52" spans="10:10" x14ac:dyDescent="0.75">
      <c r="J52" t="s">
        <v>218</v>
      </c>
    </row>
    <row r="53" spans="10:10" x14ac:dyDescent="0.75">
      <c r="J53" t="s">
        <v>221</v>
      </c>
    </row>
    <row r="54" spans="10:10" x14ac:dyDescent="0.75">
      <c r="J54" t="s">
        <v>113</v>
      </c>
    </row>
    <row r="55" spans="10:10" x14ac:dyDescent="0.75">
      <c r="J55" t="s">
        <v>216</v>
      </c>
    </row>
    <row r="56" spans="10:10" x14ac:dyDescent="0.75">
      <c r="J56" t="s">
        <v>115</v>
      </c>
    </row>
    <row r="57" spans="10:10" x14ac:dyDescent="0.75">
      <c r="J57" t="s">
        <v>217</v>
      </c>
    </row>
    <row r="58" spans="10:10" x14ac:dyDescent="0.75">
      <c r="J58" t="s">
        <v>224</v>
      </c>
    </row>
    <row r="59" spans="10:10" x14ac:dyDescent="0.75">
      <c r="J59" t="s">
        <v>102</v>
      </c>
    </row>
    <row r="60" spans="10:10" x14ac:dyDescent="0.75">
      <c r="J60" t="s">
        <v>109</v>
      </c>
    </row>
    <row r="61" spans="10:10" x14ac:dyDescent="0.75">
      <c r="J61" t="s">
        <v>219</v>
      </c>
    </row>
    <row r="103" spans="2:8" x14ac:dyDescent="0.75">
      <c r="B103" t="s">
        <v>193</v>
      </c>
      <c r="C103" t="s">
        <v>194</v>
      </c>
      <c r="D103" t="s">
        <v>195</v>
      </c>
      <c r="E103" t="s">
        <v>196</v>
      </c>
      <c r="F103" t="s">
        <v>197</v>
      </c>
      <c r="G103" t="s">
        <v>198</v>
      </c>
      <c r="H103" t="s">
        <v>199</v>
      </c>
    </row>
    <row r="104" spans="2:8" x14ac:dyDescent="0.75">
      <c r="B104" t="s">
        <v>101</v>
      </c>
      <c r="C104">
        <v>52.322040000000001</v>
      </c>
      <c r="D104">
        <v>37.839500000000001</v>
      </c>
      <c r="E104">
        <v>1.7014959999999999</v>
      </c>
      <c r="F104">
        <v>1.697022</v>
      </c>
      <c r="G104">
        <v>1.15E-2</v>
      </c>
      <c r="H104">
        <v>0.65745699999999996</v>
      </c>
    </row>
    <row r="105" spans="2:8" x14ac:dyDescent="0.75">
      <c r="B105" t="s">
        <v>115</v>
      </c>
      <c r="C105">
        <v>56.973959999999998</v>
      </c>
      <c r="D105">
        <v>43.573680000000003</v>
      </c>
      <c r="E105">
        <v>1.8883239999999999</v>
      </c>
      <c r="F105">
        <v>1.8719539999999999</v>
      </c>
      <c r="G105">
        <v>1.2478E-2</v>
      </c>
      <c r="H105">
        <v>0.68310999999999999</v>
      </c>
    </row>
    <row r="106" spans="2:8" x14ac:dyDescent="0.75">
      <c r="B106" t="s">
        <v>113</v>
      </c>
      <c r="C106">
        <v>58.61647</v>
      </c>
      <c r="D106">
        <v>44.303260000000002</v>
      </c>
      <c r="E106">
        <v>2.043755</v>
      </c>
      <c r="F106">
        <v>2.073944</v>
      </c>
      <c r="G106">
        <v>1.2969E-2</v>
      </c>
      <c r="H106">
        <v>0.76244900000000004</v>
      </c>
    </row>
    <row r="107" spans="2:8" x14ac:dyDescent="0.75">
      <c r="B107" t="s">
        <v>223</v>
      </c>
      <c r="C107">
        <v>60.049799999999998</v>
      </c>
      <c r="D107">
        <v>48.765819999999998</v>
      </c>
      <c r="E107">
        <v>2.18899</v>
      </c>
      <c r="F107">
        <v>2.1747830000000001</v>
      </c>
      <c r="G107">
        <v>1.3147000000000001E-2</v>
      </c>
      <c r="H107">
        <v>0.76247600000000004</v>
      </c>
    </row>
    <row r="108" spans="2:8" x14ac:dyDescent="0.75">
      <c r="B108" t="s">
        <v>216</v>
      </c>
      <c r="C108">
        <v>60.223469999999999</v>
      </c>
      <c r="D108">
        <v>41.774880000000003</v>
      </c>
      <c r="E108">
        <v>1.9208909999999999</v>
      </c>
      <c r="F108">
        <v>1.923281</v>
      </c>
      <c r="G108">
        <v>1.3268E-2</v>
      </c>
      <c r="H108">
        <v>0.77910299999999999</v>
      </c>
    </row>
    <row r="109" spans="2:8" x14ac:dyDescent="0.75">
      <c r="B109" t="s">
        <v>221</v>
      </c>
      <c r="C109">
        <v>60.630699999999997</v>
      </c>
      <c r="D109">
        <v>49.306489999999997</v>
      </c>
      <c r="E109">
        <v>2.2942290000000001</v>
      </c>
      <c r="F109">
        <v>2.3325610000000001</v>
      </c>
      <c r="G109">
        <v>1.3436999999999999E-2</v>
      </c>
      <c r="H109">
        <v>0.82985799999999998</v>
      </c>
    </row>
    <row r="110" spans="2:8" x14ac:dyDescent="0.75">
      <c r="B110" t="s">
        <v>218</v>
      </c>
      <c r="C110">
        <v>62.881500000000003</v>
      </c>
      <c r="D110">
        <v>49.137360000000001</v>
      </c>
      <c r="E110">
        <v>2.1291760000000002</v>
      </c>
      <c r="F110">
        <v>2.1052789999999999</v>
      </c>
      <c r="G110">
        <v>1.3724E-2</v>
      </c>
      <c r="H110">
        <v>0.751803</v>
      </c>
    </row>
    <row r="111" spans="2:8" x14ac:dyDescent="0.75">
      <c r="B111" s="14" t="s">
        <v>208</v>
      </c>
      <c r="C111">
        <v>68.650779999999997</v>
      </c>
      <c r="D111">
        <v>52.744520000000001</v>
      </c>
      <c r="E111">
        <v>2.4170020000000001</v>
      </c>
      <c r="F111">
        <v>2.4084720000000002</v>
      </c>
      <c r="G111">
        <v>1.5091E-2</v>
      </c>
      <c r="H111">
        <v>0.89884900000000001</v>
      </c>
    </row>
    <row r="112" spans="2:8" x14ac:dyDescent="0.75">
      <c r="B112" t="s">
        <v>107</v>
      </c>
      <c r="C112">
        <v>68.847790000000003</v>
      </c>
      <c r="D112">
        <v>50.275320000000001</v>
      </c>
      <c r="E112">
        <v>2.3238110000000001</v>
      </c>
      <c r="F112">
        <v>2.3087979999999999</v>
      </c>
      <c r="G112">
        <v>1.5103999999999999E-2</v>
      </c>
      <c r="H112">
        <v>0.92436200000000002</v>
      </c>
    </row>
    <row r="113" spans="2:8" x14ac:dyDescent="0.75">
      <c r="B113" t="s">
        <v>210</v>
      </c>
      <c r="C113">
        <v>70.612399999999994</v>
      </c>
      <c r="D113">
        <v>49.47495</v>
      </c>
      <c r="E113">
        <v>2.256751</v>
      </c>
      <c r="F113">
        <v>2.235951</v>
      </c>
      <c r="G113">
        <v>1.5481999999999999E-2</v>
      </c>
      <c r="H113">
        <v>0.91834000000000005</v>
      </c>
    </row>
    <row r="114" spans="2:8" x14ac:dyDescent="0.75">
      <c r="B114" t="s">
        <v>109</v>
      </c>
      <c r="C114">
        <v>71.171270000000007</v>
      </c>
      <c r="D114">
        <v>46.356540000000003</v>
      </c>
      <c r="E114">
        <v>2.0878570000000001</v>
      </c>
      <c r="F114">
        <v>2.0659529999999999</v>
      </c>
      <c r="G114">
        <v>1.5616E-2</v>
      </c>
      <c r="H114">
        <v>0.90699799999999997</v>
      </c>
    </row>
    <row r="115" spans="2:8" x14ac:dyDescent="0.75">
      <c r="B115" t="s">
        <v>222</v>
      </c>
      <c r="C115">
        <v>72.216340000000002</v>
      </c>
      <c r="D115">
        <v>59.334440000000001</v>
      </c>
      <c r="E115">
        <v>2.7449659999999998</v>
      </c>
      <c r="F115">
        <v>2.799566</v>
      </c>
      <c r="G115">
        <v>1.6035000000000001E-2</v>
      </c>
      <c r="H115">
        <v>0.97874399999999995</v>
      </c>
    </row>
    <row r="116" spans="2:8" x14ac:dyDescent="0.75">
      <c r="B116" t="s">
        <v>203</v>
      </c>
      <c r="C116">
        <v>72.406300000000002</v>
      </c>
      <c r="D116">
        <v>51.802529999999997</v>
      </c>
      <c r="E116">
        <v>2.3858600000000001</v>
      </c>
      <c r="F116">
        <v>2.3856790000000001</v>
      </c>
      <c r="G116">
        <v>1.5916E-2</v>
      </c>
      <c r="H116">
        <v>0.96022200000000002</v>
      </c>
    </row>
    <row r="117" spans="2:8" x14ac:dyDescent="0.75">
      <c r="B117" t="s">
        <v>217</v>
      </c>
      <c r="C117">
        <v>72.682910000000007</v>
      </c>
      <c r="D117">
        <v>57.209159999999997</v>
      </c>
      <c r="E117">
        <v>2.64873</v>
      </c>
      <c r="F117">
        <v>2.6017399999999999</v>
      </c>
      <c r="G117">
        <v>1.5838000000000001E-2</v>
      </c>
      <c r="H117">
        <v>0.92719600000000002</v>
      </c>
    </row>
    <row r="118" spans="2:8" x14ac:dyDescent="0.75">
      <c r="B118" t="s">
        <v>102</v>
      </c>
      <c r="C118">
        <v>73.04083</v>
      </c>
      <c r="D118">
        <v>54.293840000000003</v>
      </c>
      <c r="E118">
        <v>2.5060959999999999</v>
      </c>
      <c r="F118">
        <v>2.546157</v>
      </c>
      <c r="G118">
        <v>1.6178000000000001E-2</v>
      </c>
      <c r="H118">
        <v>0.975352</v>
      </c>
    </row>
    <row r="119" spans="2:8" x14ac:dyDescent="0.75">
      <c r="B119" t="s">
        <v>219</v>
      </c>
      <c r="C119">
        <v>75.278440000000003</v>
      </c>
      <c r="D119">
        <v>56.23272</v>
      </c>
      <c r="E119">
        <v>2.5229210000000002</v>
      </c>
      <c r="F119">
        <v>2.4960339999999999</v>
      </c>
      <c r="G119">
        <v>1.6473000000000002E-2</v>
      </c>
      <c r="H119">
        <v>0.96024100000000001</v>
      </c>
    </row>
    <row r="120" spans="2:8" x14ac:dyDescent="0.75">
      <c r="B120" t="s">
        <v>96</v>
      </c>
      <c r="C120">
        <v>76.254360000000005</v>
      </c>
      <c r="D120">
        <v>58.441800000000001</v>
      </c>
      <c r="E120">
        <v>2.768907</v>
      </c>
      <c r="F120">
        <v>2.7675879999999999</v>
      </c>
      <c r="G120">
        <v>1.6763E-2</v>
      </c>
      <c r="H120">
        <v>1.016202</v>
      </c>
    </row>
    <row r="121" spans="2:8" x14ac:dyDescent="0.75">
      <c r="B121" t="s">
        <v>95</v>
      </c>
      <c r="C121">
        <v>76.321979999999996</v>
      </c>
      <c r="D121">
        <v>56.885429999999999</v>
      </c>
      <c r="E121">
        <v>2.6596549999999999</v>
      </c>
      <c r="F121">
        <v>2.650007</v>
      </c>
      <c r="G121">
        <v>1.6754999999999999E-2</v>
      </c>
      <c r="H121">
        <v>0.99795500000000004</v>
      </c>
    </row>
    <row r="122" spans="2:8" x14ac:dyDescent="0.75">
      <c r="B122" t="s">
        <v>122</v>
      </c>
      <c r="C122">
        <v>76.333240000000004</v>
      </c>
      <c r="D122">
        <v>56.618810000000003</v>
      </c>
      <c r="E122">
        <v>2.58684</v>
      </c>
      <c r="F122">
        <v>2.5459239999999999</v>
      </c>
      <c r="G122">
        <v>1.668E-2</v>
      </c>
      <c r="H122">
        <v>0.96825300000000003</v>
      </c>
    </row>
    <row r="123" spans="2:8" x14ac:dyDescent="0.75">
      <c r="B123" t="s">
        <v>111</v>
      </c>
      <c r="C123">
        <v>76.992109999999997</v>
      </c>
      <c r="D123">
        <v>61.748449999999998</v>
      </c>
      <c r="E123">
        <v>2.9255800000000001</v>
      </c>
      <c r="F123">
        <v>2.9338069999999998</v>
      </c>
      <c r="G123">
        <v>1.6930000000000001E-2</v>
      </c>
      <c r="H123">
        <v>1.044902</v>
      </c>
    </row>
    <row r="124" spans="2:8" x14ac:dyDescent="0.75">
      <c r="B124" t="s">
        <v>224</v>
      </c>
      <c r="C124">
        <v>77.520009999999999</v>
      </c>
      <c r="D124">
        <v>59.325539999999997</v>
      </c>
      <c r="E124">
        <v>2.7869380000000001</v>
      </c>
      <c r="F124">
        <v>2.7978649999999998</v>
      </c>
      <c r="G124">
        <v>1.7113E-2</v>
      </c>
      <c r="H124">
        <v>1.0386420000000001</v>
      </c>
    </row>
    <row r="125" spans="2:8" x14ac:dyDescent="0.75">
      <c r="B125" t="s">
        <v>207</v>
      </c>
      <c r="C125">
        <v>77.917450000000002</v>
      </c>
      <c r="D125">
        <v>58.810780000000001</v>
      </c>
      <c r="E125">
        <v>2.6665570000000001</v>
      </c>
      <c r="F125">
        <v>2.6700879999999998</v>
      </c>
      <c r="G125">
        <v>1.7193E-2</v>
      </c>
      <c r="H125">
        <v>1.017336</v>
      </c>
    </row>
    <row r="126" spans="2:8" x14ac:dyDescent="0.75">
      <c r="B126" t="s">
        <v>209</v>
      </c>
      <c r="C126">
        <v>78.18777</v>
      </c>
      <c r="D126">
        <v>54.546219999999998</v>
      </c>
      <c r="E126">
        <v>2.449211</v>
      </c>
      <c r="F126">
        <v>2.4165890000000001</v>
      </c>
      <c r="G126">
        <v>1.7118000000000001E-2</v>
      </c>
      <c r="H126">
        <v>1.0018069999999999</v>
      </c>
    </row>
    <row r="127" spans="2:8" x14ac:dyDescent="0.75">
      <c r="B127" t="s">
        <v>220</v>
      </c>
      <c r="C127">
        <v>78.233369999999994</v>
      </c>
      <c r="D127">
        <v>57.422699999999999</v>
      </c>
      <c r="E127">
        <v>2.555577</v>
      </c>
      <c r="F127">
        <v>2.5435509999999999</v>
      </c>
      <c r="G127">
        <v>1.7173999999999998E-2</v>
      </c>
      <c r="H127">
        <v>1.001673</v>
      </c>
    </row>
    <row r="128" spans="2:8" x14ac:dyDescent="0.75">
      <c r="B128" t="s">
        <v>202</v>
      </c>
      <c r="C128">
        <v>78.318730000000002</v>
      </c>
      <c r="D128">
        <v>56.187350000000002</v>
      </c>
      <c r="E128">
        <v>2.5326529999999998</v>
      </c>
      <c r="F128">
        <v>2.5162140000000002</v>
      </c>
      <c r="G128">
        <v>1.7174999999999999E-2</v>
      </c>
      <c r="H128">
        <v>1.0079910000000001</v>
      </c>
    </row>
    <row r="129" spans="2:8" x14ac:dyDescent="0.75">
      <c r="B129" t="s">
        <v>206</v>
      </c>
      <c r="C129">
        <v>79.043620000000004</v>
      </c>
      <c r="D129">
        <v>49.772889999999997</v>
      </c>
      <c r="E129">
        <v>2.1760169999999999</v>
      </c>
      <c r="F129">
        <v>2.124155</v>
      </c>
      <c r="G129">
        <v>1.7263000000000001E-2</v>
      </c>
      <c r="H129">
        <v>0.98676799999999998</v>
      </c>
    </row>
    <row r="130" spans="2:8" x14ac:dyDescent="0.75">
      <c r="B130" t="s">
        <v>205</v>
      </c>
      <c r="C130">
        <v>79.736519999999999</v>
      </c>
      <c r="D130">
        <v>55.747720000000001</v>
      </c>
      <c r="E130">
        <v>2.450472</v>
      </c>
      <c r="F130">
        <v>2.3947349999999998</v>
      </c>
      <c r="G130">
        <v>1.7371999999999999E-2</v>
      </c>
      <c r="H130">
        <v>0.98434699999999997</v>
      </c>
    </row>
    <row r="131" spans="2:8" x14ac:dyDescent="0.75">
      <c r="B131" t="s">
        <v>103</v>
      </c>
      <c r="C131">
        <v>79.78877</v>
      </c>
      <c r="D131">
        <v>59.680050000000001</v>
      </c>
      <c r="E131">
        <v>2.763077</v>
      </c>
      <c r="F131">
        <v>2.7474069999999999</v>
      </c>
      <c r="G131">
        <v>1.7500000000000002E-2</v>
      </c>
      <c r="H131">
        <v>1.0480210000000001</v>
      </c>
    </row>
    <row r="132" spans="2:8" x14ac:dyDescent="0.75">
      <c r="B132" t="s">
        <v>211</v>
      </c>
      <c r="C132">
        <v>81.998099999999994</v>
      </c>
      <c r="D132">
        <v>59.225320000000004</v>
      </c>
      <c r="E132">
        <v>2.6855739999999999</v>
      </c>
      <c r="F132">
        <v>2.62934</v>
      </c>
      <c r="G132">
        <v>1.7878999999999999E-2</v>
      </c>
      <c r="H132">
        <v>1.0364500000000001</v>
      </c>
    </row>
    <row r="133" spans="2:8" x14ac:dyDescent="0.75">
      <c r="B133" t="s">
        <v>100</v>
      </c>
      <c r="C133">
        <v>82.213399999999993</v>
      </c>
      <c r="D133">
        <v>59.137709999999998</v>
      </c>
      <c r="E133">
        <v>2.70377</v>
      </c>
      <c r="F133">
        <v>2.6749679999999998</v>
      </c>
      <c r="G133">
        <v>1.8016999999999998E-2</v>
      </c>
      <c r="H133">
        <v>1.0647139999999999</v>
      </c>
    </row>
    <row r="134" spans="2:8" x14ac:dyDescent="0.75">
      <c r="B134" t="s">
        <v>212</v>
      </c>
      <c r="C134">
        <v>82.948580000000007</v>
      </c>
      <c r="D134">
        <v>61.319000000000003</v>
      </c>
      <c r="E134">
        <v>2.8773550000000001</v>
      </c>
      <c r="F134">
        <v>2.8235839999999999</v>
      </c>
      <c r="G134">
        <v>1.8155999999999999E-2</v>
      </c>
      <c r="H134">
        <v>1.100444</v>
      </c>
    </row>
    <row r="135" spans="2:8" x14ac:dyDescent="0.75">
      <c r="B135" t="s">
        <v>214</v>
      </c>
      <c r="C135">
        <v>83.300319999999999</v>
      </c>
      <c r="D135">
        <v>57.406089999999999</v>
      </c>
      <c r="E135">
        <v>2.560819</v>
      </c>
      <c r="F135">
        <v>2.5183650000000002</v>
      </c>
      <c r="G135">
        <v>1.821E-2</v>
      </c>
      <c r="H135">
        <v>1.048762</v>
      </c>
    </row>
    <row r="136" spans="2:8" x14ac:dyDescent="0.75">
      <c r="B136" t="s">
        <v>200</v>
      </c>
      <c r="C136">
        <v>83.446330000000003</v>
      </c>
      <c r="D136">
        <v>63.13223</v>
      </c>
      <c r="E136">
        <v>2.970421</v>
      </c>
      <c r="F136">
        <v>2.9576630000000002</v>
      </c>
      <c r="G136">
        <v>1.8311000000000001E-2</v>
      </c>
      <c r="H136">
        <v>1.111615</v>
      </c>
    </row>
    <row r="137" spans="2:8" x14ac:dyDescent="0.75">
      <c r="B137" t="s">
        <v>105</v>
      </c>
      <c r="C137">
        <v>83.580340000000007</v>
      </c>
      <c r="D137">
        <v>61.370100000000001</v>
      </c>
      <c r="E137">
        <v>2.8202509999999998</v>
      </c>
      <c r="F137">
        <v>2.7956699999999999</v>
      </c>
      <c r="G137">
        <v>1.8325999999999999E-2</v>
      </c>
      <c r="H137">
        <v>1.0910759999999999</v>
      </c>
    </row>
    <row r="138" spans="2:8" x14ac:dyDescent="0.75">
      <c r="B138" t="s">
        <v>213</v>
      </c>
      <c r="C138">
        <v>84.959580000000003</v>
      </c>
      <c r="D138">
        <v>62.803489999999996</v>
      </c>
      <c r="E138">
        <v>2.8773469999999999</v>
      </c>
      <c r="F138">
        <v>2.8409599999999999</v>
      </c>
      <c r="G138">
        <v>1.8582999999999999E-2</v>
      </c>
      <c r="H138">
        <v>1.101845</v>
      </c>
    </row>
    <row r="139" spans="2:8" x14ac:dyDescent="0.75">
      <c r="B139" t="s">
        <v>201</v>
      </c>
      <c r="C139">
        <v>86.132320000000007</v>
      </c>
      <c r="D139">
        <v>57.396349999999998</v>
      </c>
      <c r="E139">
        <v>2.5658470000000002</v>
      </c>
      <c r="F139">
        <v>2.4975930000000002</v>
      </c>
      <c r="G139">
        <v>1.8773000000000001E-2</v>
      </c>
      <c r="H139">
        <v>1.0908610000000001</v>
      </c>
    </row>
    <row r="140" spans="2:8" x14ac:dyDescent="0.75">
      <c r="B140" t="s">
        <v>215</v>
      </c>
      <c r="C140">
        <v>86.578440000000001</v>
      </c>
      <c r="D140">
        <v>60.78304</v>
      </c>
      <c r="E140">
        <v>2.7205590000000002</v>
      </c>
      <c r="F140">
        <v>2.6597680000000001</v>
      </c>
      <c r="G140">
        <v>1.8877000000000001E-2</v>
      </c>
      <c r="H140">
        <v>1.0903579999999999</v>
      </c>
    </row>
    <row r="141" spans="2:8" x14ac:dyDescent="0.75">
      <c r="B141" t="s">
        <v>99</v>
      </c>
      <c r="C141">
        <v>87.559100000000001</v>
      </c>
      <c r="D141">
        <v>61.821370000000002</v>
      </c>
      <c r="E141">
        <v>2.813488</v>
      </c>
      <c r="F141">
        <v>2.771306</v>
      </c>
      <c r="G141">
        <v>1.9155999999999999E-2</v>
      </c>
      <c r="H141">
        <v>1.1257999999999999</v>
      </c>
    </row>
    <row r="142" spans="2:8" x14ac:dyDescent="0.75">
      <c r="B142" t="s">
        <v>116</v>
      </c>
      <c r="C142">
        <v>91.022049999999993</v>
      </c>
      <c r="D142">
        <v>78.904309999999995</v>
      </c>
      <c r="E142">
        <v>3.753269</v>
      </c>
      <c r="F142">
        <v>3.658188</v>
      </c>
      <c r="G142">
        <v>1.9698E-2</v>
      </c>
      <c r="H142">
        <v>1.239323</v>
      </c>
    </row>
    <row r="143" spans="2:8" x14ac:dyDescent="0.75">
      <c r="B143" t="s">
        <v>204</v>
      </c>
      <c r="C143">
        <v>95.735010000000003</v>
      </c>
      <c r="D143">
        <v>80.563010000000006</v>
      </c>
      <c r="E143">
        <v>3.7828979999999999</v>
      </c>
      <c r="F143">
        <v>3.6834519999999999</v>
      </c>
      <c r="G143">
        <v>2.0726999999999999E-2</v>
      </c>
      <c r="H143">
        <v>1.2921009999999999</v>
      </c>
    </row>
    <row r="144" spans="2:8" x14ac:dyDescent="0.75">
      <c r="B144" t="s">
        <v>118</v>
      </c>
      <c r="C144">
        <v>141.41550000000001</v>
      </c>
      <c r="D144">
        <v>129.65950000000001</v>
      </c>
      <c r="E144">
        <v>5.9374079999999996</v>
      </c>
      <c r="F144">
        <v>6.1506109999999996</v>
      </c>
      <c r="G144">
        <v>3.2016999999999997E-2</v>
      </c>
      <c r="H144">
        <v>1.8485309999999999</v>
      </c>
    </row>
    <row r="145" spans="2:8" x14ac:dyDescent="0.75">
      <c r="B145" t="s">
        <v>117</v>
      </c>
      <c r="C145">
        <v>213.65469999999999</v>
      </c>
      <c r="D145">
        <v>201.60210000000001</v>
      </c>
      <c r="E145">
        <v>8.9832059999999991</v>
      </c>
      <c r="F145">
        <v>9.4342570000000006</v>
      </c>
      <c r="G145">
        <v>4.9239999999999999E-2</v>
      </c>
      <c r="H145">
        <v>2.6733829999999998</v>
      </c>
    </row>
    <row r="147" spans="2:8" x14ac:dyDescent="0.75">
      <c r="B147" t="s">
        <v>243</v>
      </c>
      <c r="C147">
        <v>60.095100000000002</v>
      </c>
      <c r="D147">
        <v>42.702399999999997</v>
      </c>
      <c r="E147">
        <v>1.927125</v>
      </c>
      <c r="F147">
        <v>1.9178299999999999</v>
      </c>
      <c r="G147">
        <v>1.3200999999999999E-2</v>
      </c>
      <c r="H147">
        <v>0.77571299999999999</v>
      </c>
    </row>
    <row r="148" spans="2:8" x14ac:dyDescent="0.75">
      <c r="B148" t="s">
        <v>244</v>
      </c>
      <c r="C148">
        <v>60.98133</v>
      </c>
      <c r="D148">
        <v>43.442909999999998</v>
      </c>
      <c r="E148">
        <v>1.9589570000000001</v>
      </c>
      <c r="F148">
        <v>1.9474940000000001</v>
      </c>
      <c r="G148">
        <v>1.3388000000000001E-2</v>
      </c>
      <c r="H148">
        <v>0.785049</v>
      </c>
    </row>
    <row r="149" spans="2:8" x14ac:dyDescent="0.75">
      <c r="B149" t="s">
        <v>245</v>
      </c>
      <c r="C149">
        <v>68.31568</v>
      </c>
      <c r="D149">
        <v>48.101750000000003</v>
      </c>
      <c r="E149">
        <v>2.161216</v>
      </c>
      <c r="F149">
        <v>2.1412939999999998</v>
      </c>
      <c r="G149">
        <v>1.4978E-2</v>
      </c>
      <c r="H149">
        <v>0.87539500000000003</v>
      </c>
    </row>
    <row r="150" spans="2:8" x14ac:dyDescent="0.75">
      <c r="B150" t="s">
        <v>246</v>
      </c>
      <c r="C150" t="s">
        <v>247</v>
      </c>
      <c r="D150" t="s">
        <v>247</v>
      </c>
      <c r="E150" t="s">
        <v>247</v>
      </c>
      <c r="F150" t="s">
        <v>247</v>
      </c>
      <c r="G150" t="s">
        <v>247</v>
      </c>
      <c r="H150" t="s">
        <v>247</v>
      </c>
    </row>
    <row r="151" spans="2:8" x14ac:dyDescent="0.75">
      <c r="B151" t="s">
        <v>248</v>
      </c>
      <c r="C151">
        <v>63.302079999999997</v>
      </c>
      <c r="D151">
        <v>45.20355</v>
      </c>
      <c r="E151">
        <v>2.0257309999999999</v>
      </c>
      <c r="F151">
        <v>2.0021960000000001</v>
      </c>
      <c r="G151">
        <v>1.3868E-2</v>
      </c>
      <c r="H151">
        <v>0.80254199999999998</v>
      </c>
    </row>
    <row r="152" spans="2:8" x14ac:dyDescent="0.75">
      <c r="B152" t="s">
        <v>225</v>
      </c>
      <c r="C152">
        <v>61.355989999999998</v>
      </c>
      <c r="D152">
        <v>44.183619999999998</v>
      </c>
      <c r="E152">
        <v>1.984931</v>
      </c>
      <c r="F152">
        <v>1.9671609999999999</v>
      </c>
      <c r="G152">
        <v>1.3452E-2</v>
      </c>
      <c r="H152">
        <v>0.78166400000000003</v>
      </c>
    </row>
    <row r="172" spans="2:8" x14ac:dyDescent="0.75">
      <c r="B172" t="s">
        <v>193</v>
      </c>
      <c r="C172" t="s">
        <v>194</v>
      </c>
      <c r="D172" t="s">
        <v>195</v>
      </c>
      <c r="E172" t="s">
        <v>196</v>
      </c>
      <c r="F172" t="s">
        <v>197</v>
      </c>
      <c r="G172" t="s">
        <v>198</v>
      </c>
      <c r="H172" t="s">
        <v>199</v>
      </c>
    </row>
    <row r="173" spans="2:8" x14ac:dyDescent="0.75">
      <c r="B173" s="5" t="s">
        <v>101</v>
      </c>
      <c r="C173">
        <v>52.322040000000001</v>
      </c>
      <c r="D173">
        <v>37.839500000000001</v>
      </c>
      <c r="E173">
        <v>1.7014959999999999</v>
      </c>
      <c r="F173">
        <v>1.697022</v>
      </c>
      <c r="G173">
        <v>1.15E-2</v>
      </c>
      <c r="H173">
        <v>0.65745699999999996</v>
      </c>
    </row>
    <row r="174" spans="2:8" x14ac:dyDescent="0.75">
      <c r="B174" t="s">
        <v>115</v>
      </c>
      <c r="C174">
        <v>56.973959999999998</v>
      </c>
      <c r="D174">
        <v>43.573680000000003</v>
      </c>
      <c r="E174">
        <v>1.8883239999999999</v>
      </c>
      <c r="F174">
        <v>1.8719539999999999</v>
      </c>
      <c r="G174">
        <v>1.2478E-2</v>
      </c>
      <c r="H174">
        <v>0.68310999999999999</v>
      </c>
    </row>
    <row r="175" spans="2:8" x14ac:dyDescent="0.75">
      <c r="B175" t="s">
        <v>113</v>
      </c>
      <c r="C175">
        <v>58.61647</v>
      </c>
      <c r="D175">
        <v>44.303260000000002</v>
      </c>
      <c r="E175">
        <v>2.043755</v>
      </c>
      <c r="F175">
        <v>2.073944</v>
      </c>
      <c r="G175">
        <v>1.2969E-2</v>
      </c>
      <c r="H175">
        <v>0.76244900000000004</v>
      </c>
    </row>
    <row r="176" spans="2:8" x14ac:dyDescent="0.75">
      <c r="B176" t="s">
        <v>223</v>
      </c>
      <c r="C176">
        <v>60.049799999999998</v>
      </c>
      <c r="D176">
        <v>48.765819999999998</v>
      </c>
      <c r="E176">
        <v>2.18899</v>
      </c>
      <c r="F176">
        <v>2.1747830000000001</v>
      </c>
      <c r="G176">
        <v>1.3147000000000001E-2</v>
      </c>
      <c r="H176">
        <v>0.76247600000000004</v>
      </c>
    </row>
    <row r="177" spans="2:8" x14ac:dyDescent="0.75">
      <c r="B177" s="5" t="s">
        <v>216</v>
      </c>
      <c r="C177">
        <v>60.223469999999999</v>
      </c>
      <c r="D177">
        <v>41.774880000000003</v>
      </c>
      <c r="E177">
        <v>1.9208909999999999</v>
      </c>
      <c r="F177">
        <v>1.923281</v>
      </c>
      <c r="G177">
        <v>1.3268E-2</v>
      </c>
      <c r="H177">
        <v>0.77910299999999999</v>
      </c>
    </row>
    <row r="178" spans="2:8" x14ac:dyDescent="0.75">
      <c r="B178" t="s">
        <v>221</v>
      </c>
      <c r="C178">
        <v>60.630699999999997</v>
      </c>
      <c r="D178">
        <v>49.306489999999997</v>
      </c>
      <c r="E178">
        <v>2.2942290000000001</v>
      </c>
      <c r="F178">
        <v>2.3325610000000001</v>
      </c>
      <c r="G178">
        <v>1.3436999999999999E-2</v>
      </c>
      <c r="H178">
        <v>0.82985799999999998</v>
      </c>
    </row>
    <row r="179" spans="2:8" x14ac:dyDescent="0.75">
      <c r="B179" t="s">
        <v>218</v>
      </c>
      <c r="C179">
        <v>62.881500000000003</v>
      </c>
      <c r="D179">
        <v>49.137360000000001</v>
      </c>
      <c r="E179">
        <v>2.1291760000000002</v>
      </c>
      <c r="F179">
        <v>2.1052789999999999</v>
      </c>
      <c r="G179">
        <v>1.3724E-2</v>
      </c>
      <c r="H179">
        <v>0.751803</v>
      </c>
    </row>
    <row r="180" spans="2:8" x14ac:dyDescent="0.75">
      <c r="B180" s="5" t="s">
        <v>208</v>
      </c>
      <c r="C180">
        <v>68.650779999999997</v>
      </c>
      <c r="D180">
        <v>52.744520000000001</v>
      </c>
      <c r="E180">
        <v>2.4170020000000001</v>
      </c>
      <c r="F180">
        <v>2.4084720000000002</v>
      </c>
      <c r="G180">
        <v>1.5091E-2</v>
      </c>
      <c r="H180">
        <v>0.89884900000000001</v>
      </c>
    </row>
    <row r="181" spans="2:8" x14ac:dyDescent="0.75">
      <c r="B181" t="s">
        <v>107</v>
      </c>
      <c r="C181">
        <v>68.847790000000003</v>
      </c>
      <c r="D181">
        <v>50.275320000000001</v>
      </c>
      <c r="E181">
        <v>2.3238110000000001</v>
      </c>
      <c r="F181">
        <v>2.3087979999999999</v>
      </c>
      <c r="G181">
        <v>1.5103999999999999E-2</v>
      </c>
      <c r="H181">
        <v>0.92436200000000002</v>
      </c>
    </row>
    <row r="182" spans="2:8" x14ac:dyDescent="0.75">
      <c r="B182" t="s">
        <v>210</v>
      </c>
      <c r="C182">
        <v>70.612399999999994</v>
      </c>
      <c r="D182">
        <v>49.47495</v>
      </c>
      <c r="E182">
        <v>2.256751</v>
      </c>
      <c r="F182">
        <v>2.235951</v>
      </c>
      <c r="G182">
        <v>1.5481999999999999E-2</v>
      </c>
      <c r="H182">
        <v>0.91834000000000005</v>
      </c>
    </row>
    <row r="183" spans="2:8" x14ac:dyDescent="0.75">
      <c r="B183" t="s">
        <v>109</v>
      </c>
      <c r="C183">
        <v>71.171270000000007</v>
      </c>
      <c r="D183">
        <v>46.356540000000003</v>
      </c>
      <c r="E183">
        <v>2.0878570000000001</v>
      </c>
      <c r="F183">
        <v>2.0659529999999999</v>
      </c>
      <c r="G183">
        <v>1.5616E-2</v>
      </c>
      <c r="H183">
        <v>0.90699799999999997</v>
      </c>
    </row>
    <row r="184" spans="2:8" x14ac:dyDescent="0.75">
      <c r="B184" t="s">
        <v>222</v>
      </c>
      <c r="C184">
        <v>72.216340000000002</v>
      </c>
      <c r="D184">
        <v>59.334440000000001</v>
      </c>
      <c r="E184">
        <v>2.7449659999999998</v>
      </c>
      <c r="F184">
        <v>2.799566</v>
      </c>
      <c r="G184">
        <v>1.6035000000000001E-2</v>
      </c>
      <c r="H184">
        <v>0.97874399999999995</v>
      </c>
    </row>
    <row r="185" spans="2:8" x14ac:dyDescent="0.75">
      <c r="B185" t="s">
        <v>203</v>
      </c>
      <c r="C185">
        <v>72.406300000000002</v>
      </c>
      <c r="D185">
        <v>51.802529999999997</v>
      </c>
      <c r="E185">
        <v>2.3858600000000001</v>
      </c>
      <c r="F185">
        <v>2.3856790000000001</v>
      </c>
      <c r="G185">
        <v>1.5916E-2</v>
      </c>
      <c r="H185">
        <v>0.96022200000000002</v>
      </c>
    </row>
    <row r="186" spans="2:8" x14ac:dyDescent="0.75">
      <c r="B186" t="s">
        <v>217</v>
      </c>
      <c r="C186">
        <v>72.682910000000007</v>
      </c>
      <c r="D186">
        <v>57.209159999999997</v>
      </c>
      <c r="E186">
        <v>2.64873</v>
      </c>
      <c r="F186">
        <v>2.6017399999999999</v>
      </c>
      <c r="G186">
        <v>1.5838000000000001E-2</v>
      </c>
      <c r="H186">
        <v>0.92719600000000002</v>
      </c>
    </row>
    <row r="187" spans="2:8" x14ac:dyDescent="0.75">
      <c r="B187" t="s">
        <v>102</v>
      </c>
      <c r="C187">
        <v>73.04083</v>
      </c>
      <c r="D187">
        <v>54.293840000000003</v>
      </c>
      <c r="E187">
        <v>2.5060959999999999</v>
      </c>
      <c r="F187">
        <v>2.546157</v>
      </c>
      <c r="G187">
        <v>1.6178000000000001E-2</v>
      </c>
      <c r="H187">
        <v>0.975352</v>
      </c>
    </row>
    <row r="188" spans="2:8" x14ac:dyDescent="0.75">
      <c r="B188" t="s">
        <v>219</v>
      </c>
      <c r="C188">
        <v>75.278440000000003</v>
      </c>
      <c r="D188">
        <v>56.23272</v>
      </c>
      <c r="E188">
        <v>2.5229210000000002</v>
      </c>
      <c r="F188">
        <v>2.4960339999999999</v>
      </c>
      <c r="G188">
        <v>1.6473000000000002E-2</v>
      </c>
      <c r="H188">
        <v>0.96024100000000001</v>
      </c>
    </row>
    <row r="189" spans="2:8" x14ac:dyDescent="0.75">
      <c r="B189" t="s">
        <v>96</v>
      </c>
      <c r="C189">
        <v>76.254360000000005</v>
      </c>
      <c r="D189">
        <v>58.441800000000001</v>
      </c>
      <c r="E189">
        <v>2.768907</v>
      </c>
      <c r="F189">
        <v>2.7675879999999999</v>
      </c>
      <c r="G189">
        <v>1.6763E-2</v>
      </c>
      <c r="H189">
        <v>1.016202</v>
      </c>
    </row>
    <row r="190" spans="2:8" x14ac:dyDescent="0.75">
      <c r="B190" t="s">
        <v>95</v>
      </c>
      <c r="C190">
        <v>76.321979999999996</v>
      </c>
      <c r="D190">
        <v>56.885429999999999</v>
      </c>
      <c r="E190">
        <v>2.6596549999999999</v>
      </c>
      <c r="F190">
        <v>2.650007</v>
      </c>
      <c r="G190">
        <v>1.6754999999999999E-2</v>
      </c>
      <c r="H190">
        <v>0.99795500000000004</v>
      </c>
    </row>
    <row r="191" spans="2:8" x14ac:dyDescent="0.75">
      <c r="B191" t="s">
        <v>122</v>
      </c>
      <c r="C191">
        <v>76.333240000000004</v>
      </c>
      <c r="D191">
        <v>56.618810000000003</v>
      </c>
      <c r="E191">
        <v>2.58684</v>
      </c>
      <c r="F191">
        <v>2.5459239999999999</v>
      </c>
      <c r="G191">
        <v>1.668E-2</v>
      </c>
      <c r="H191">
        <v>0.96825300000000003</v>
      </c>
    </row>
    <row r="192" spans="2:8" x14ac:dyDescent="0.75">
      <c r="B192" t="s">
        <v>111</v>
      </c>
      <c r="C192">
        <v>76.992109999999997</v>
      </c>
      <c r="D192">
        <v>61.748449999999998</v>
      </c>
      <c r="E192">
        <v>2.9255800000000001</v>
      </c>
      <c r="F192">
        <v>2.9338069999999998</v>
      </c>
      <c r="G192">
        <v>1.6930000000000001E-2</v>
      </c>
      <c r="H192">
        <v>1.044902</v>
      </c>
    </row>
    <row r="193" spans="2:8" x14ac:dyDescent="0.75">
      <c r="B193" t="s">
        <v>224</v>
      </c>
      <c r="C193">
        <v>77.520009999999999</v>
      </c>
      <c r="D193">
        <v>59.325539999999997</v>
      </c>
      <c r="E193">
        <v>2.7869380000000001</v>
      </c>
      <c r="F193">
        <v>2.7978649999999998</v>
      </c>
      <c r="G193">
        <v>1.7113E-2</v>
      </c>
      <c r="H193">
        <v>1.0386420000000001</v>
      </c>
    </row>
    <row r="194" spans="2:8" x14ac:dyDescent="0.75">
      <c r="B194" t="s">
        <v>207</v>
      </c>
      <c r="C194">
        <v>77.917450000000002</v>
      </c>
      <c r="D194">
        <v>58.810780000000001</v>
      </c>
      <c r="E194">
        <v>2.6665570000000001</v>
      </c>
      <c r="F194">
        <v>2.6700879999999998</v>
      </c>
      <c r="G194">
        <v>1.7193E-2</v>
      </c>
      <c r="H194">
        <v>1.017336</v>
      </c>
    </row>
    <row r="195" spans="2:8" x14ac:dyDescent="0.75">
      <c r="B195" t="s">
        <v>209</v>
      </c>
      <c r="C195">
        <v>78.18777</v>
      </c>
      <c r="D195">
        <v>54.546219999999998</v>
      </c>
      <c r="E195">
        <v>2.449211</v>
      </c>
      <c r="F195">
        <v>2.4165890000000001</v>
      </c>
      <c r="G195">
        <v>1.7118000000000001E-2</v>
      </c>
      <c r="H195">
        <v>1.0018069999999999</v>
      </c>
    </row>
    <row r="196" spans="2:8" x14ac:dyDescent="0.75">
      <c r="B196" t="s">
        <v>220</v>
      </c>
      <c r="C196">
        <v>78.233369999999994</v>
      </c>
      <c r="D196">
        <v>57.422699999999999</v>
      </c>
      <c r="E196">
        <v>2.555577</v>
      </c>
      <c r="F196">
        <v>2.5435509999999999</v>
      </c>
      <c r="G196">
        <v>1.7173999999999998E-2</v>
      </c>
      <c r="H196">
        <v>1.001673</v>
      </c>
    </row>
    <row r="197" spans="2:8" x14ac:dyDescent="0.75">
      <c r="B197" t="s">
        <v>202</v>
      </c>
      <c r="C197">
        <v>78.318730000000002</v>
      </c>
      <c r="D197">
        <v>56.187350000000002</v>
      </c>
      <c r="E197">
        <v>2.5326529999999998</v>
      </c>
      <c r="F197">
        <v>2.5162140000000002</v>
      </c>
      <c r="G197">
        <v>1.7174999999999999E-2</v>
      </c>
      <c r="H197">
        <v>1.0079910000000001</v>
      </c>
    </row>
    <row r="198" spans="2:8" x14ac:dyDescent="0.75">
      <c r="B198" t="s">
        <v>206</v>
      </c>
      <c r="C198">
        <v>79.043620000000004</v>
      </c>
      <c r="D198">
        <v>49.772889999999997</v>
      </c>
      <c r="E198">
        <v>2.1760169999999999</v>
      </c>
      <c r="F198">
        <v>2.124155</v>
      </c>
      <c r="G198">
        <v>1.7263000000000001E-2</v>
      </c>
      <c r="H198">
        <v>0.98676799999999998</v>
      </c>
    </row>
    <row r="199" spans="2:8" x14ac:dyDescent="0.75">
      <c r="B199" t="s">
        <v>205</v>
      </c>
      <c r="C199">
        <v>79.736519999999999</v>
      </c>
      <c r="D199">
        <v>55.747720000000001</v>
      </c>
      <c r="E199">
        <v>2.450472</v>
      </c>
      <c r="F199">
        <v>2.3947349999999998</v>
      </c>
      <c r="G199">
        <v>1.7371999999999999E-2</v>
      </c>
      <c r="H199">
        <v>0.98434699999999997</v>
      </c>
    </row>
    <row r="200" spans="2:8" x14ac:dyDescent="0.75">
      <c r="B200" t="s">
        <v>103</v>
      </c>
      <c r="C200">
        <v>79.78877</v>
      </c>
      <c r="D200">
        <v>59.680050000000001</v>
      </c>
      <c r="E200">
        <v>2.763077</v>
      </c>
      <c r="F200">
        <v>2.7474069999999999</v>
      </c>
      <c r="G200">
        <v>1.7500000000000002E-2</v>
      </c>
      <c r="H200">
        <v>1.0480210000000001</v>
      </c>
    </row>
    <row r="201" spans="2:8" x14ac:dyDescent="0.75">
      <c r="B201" t="s">
        <v>211</v>
      </c>
      <c r="C201">
        <v>81.998099999999994</v>
      </c>
      <c r="D201">
        <v>59.225320000000004</v>
      </c>
      <c r="E201">
        <v>2.6855739999999999</v>
      </c>
      <c r="F201">
        <v>2.62934</v>
      </c>
      <c r="G201">
        <v>1.7878999999999999E-2</v>
      </c>
      <c r="H201">
        <v>1.0364500000000001</v>
      </c>
    </row>
    <row r="202" spans="2:8" x14ac:dyDescent="0.75">
      <c r="B202" t="s">
        <v>100</v>
      </c>
      <c r="C202">
        <v>82.213399999999993</v>
      </c>
      <c r="D202">
        <v>59.137709999999998</v>
      </c>
      <c r="E202">
        <v>2.70377</v>
      </c>
      <c r="F202">
        <v>2.6749679999999998</v>
      </c>
      <c r="G202">
        <v>1.8016999999999998E-2</v>
      </c>
      <c r="H202">
        <v>1.0647139999999999</v>
      </c>
    </row>
    <row r="203" spans="2:8" x14ac:dyDescent="0.75">
      <c r="B203" t="s">
        <v>212</v>
      </c>
      <c r="C203">
        <v>82.948580000000007</v>
      </c>
      <c r="D203">
        <v>61.319000000000003</v>
      </c>
      <c r="E203">
        <v>2.8773550000000001</v>
      </c>
      <c r="F203">
        <v>2.8235839999999999</v>
      </c>
      <c r="G203">
        <v>1.8155999999999999E-2</v>
      </c>
      <c r="H203">
        <v>1.100444</v>
      </c>
    </row>
    <row r="204" spans="2:8" x14ac:dyDescent="0.75">
      <c r="B204" t="s">
        <v>214</v>
      </c>
      <c r="C204">
        <v>83.300319999999999</v>
      </c>
      <c r="D204">
        <v>57.406089999999999</v>
      </c>
      <c r="E204">
        <v>2.560819</v>
      </c>
      <c r="F204">
        <v>2.5183650000000002</v>
      </c>
      <c r="G204">
        <v>1.821E-2</v>
      </c>
      <c r="H204">
        <v>1.048762</v>
      </c>
    </row>
    <row r="205" spans="2:8" x14ac:dyDescent="0.75">
      <c r="B205" t="s">
        <v>200</v>
      </c>
      <c r="C205">
        <v>83.446330000000003</v>
      </c>
      <c r="D205">
        <v>63.13223</v>
      </c>
      <c r="E205">
        <v>2.970421</v>
      </c>
      <c r="F205">
        <v>2.9576630000000002</v>
      </c>
      <c r="G205">
        <v>1.8311000000000001E-2</v>
      </c>
      <c r="H205">
        <v>1.111615</v>
      </c>
    </row>
    <row r="206" spans="2:8" x14ac:dyDescent="0.75">
      <c r="B206" t="s">
        <v>105</v>
      </c>
      <c r="C206">
        <v>83.580340000000007</v>
      </c>
      <c r="D206">
        <v>61.370100000000001</v>
      </c>
      <c r="E206">
        <v>2.8202509999999998</v>
      </c>
      <c r="F206">
        <v>2.7956699999999999</v>
      </c>
      <c r="G206">
        <v>1.8325999999999999E-2</v>
      </c>
      <c r="H206">
        <v>1.0910759999999999</v>
      </c>
    </row>
    <row r="207" spans="2:8" x14ac:dyDescent="0.75">
      <c r="B207" t="s">
        <v>213</v>
      </c>
      <c r="C207">
        <v>84.959580000000003</v>
      </c>
      <c r="D207">
        <v>62.803489999999996</v>
      </c>
      <c r="E207">
        <v>2.8773469999999999</v>
      </c>
      <c r="F207">
        <v>2.8409599999999999</v>
      </c>
      <c r="G207">
        <v>1.8582999999999999E-2</v>
      </c>
      <c r="H207">
        <v>1.101845</v>
      </c>
    </row>
    <row r="208" spans="2:8" x14ac:dyDescent="0.75">
      <c r="B208" t="s">
        <v>201</v>
      </c>
      <c r="C208">
        <v>86.132320000000007</v>
      </c>
      <c r="D208">
        <v>57.396349999999998</v>
      </c>
      <c r="E208">
        <v>2.5658470000000002</v>
      </c>
      <c r="F208">
        <v>2.4975930000000002</v>
      </c>
      <c r="G208">
        <v>1.8773000000000001E-2</v>
      </c>
      <c r="H208">
        <v>1.0908610000000001</v>
      </c>
    </row>
    <row r="209" spans="2:8" x14ac:dyDescent="0.75">
      <c r="B209" t="s">
        <v>215</v>
      </c>
      <c r="C209">
        <v>86.578440000000001</v>
      </c>
      <c r="D209">
        <v>60.78304</v>
      </c>
      <c r="E209">
        <v>2.7205590000000002</v>
      </c>
      <c r="F209">
        <v>2.6597680000000001</v>
      </c>
      <c r="G209">
        <v>1.8877000000000001E-2</v>
      </c>
      <c r="H209">
        <v>1.0903579999999999</v>
      </c>
    </row>
    <row r="210" spans="2:8" x14ac:dyDescent="0.75">
      <c r="B210" t="s">
        <v>99</v>
      </c>
      <c r="C210">
        <v>87.559100000000001</v>
      </c>
      <c r="D210">
        <v>61.821370000000002</v>
      </c>
      <c r="E210">
        <v>2.813488</v>
      </c>
      <c r="F210">
        <v>2.771306</v>
      </c>
      <c r="G210">
        <v>1.9155999999999999E-2</v>
      </c>
      <c r="H210">
        <v>1.1257999999999999</v>
      </c>
    </row>
    <row r="211" spans="2:8" x14ac:dyDescent="0.75">
      <c r="B211" t="s">
        <v>116</v>
      </c>
      <c r="C211">
        <v>91.022049999999993</v>
      </c>
      <c r="D211">
        <v>78.904309999999995</v>
      </c>
      <c r="E211">
        <v>3.753269</v>
      </c>
      <c r="F211">
        <v>3.658188</v>
      </c>
      <c r="G211">
        <v>1.9698E-2</v>
      </c>
      <c r="H211">
        <v>1.239323</v>
      </c>
    </row>
    <row r="212" spans="2:8" x14ac:dyDescent="0.75">
      <c r="B212" t="s">
        <v>204</v>
      </c>
      <c r="C212">
        <v>95.735010000000003</v>
      </c>
      <c r="D212">
        <v>80.563010000000006</v>
      </c>
      <c r="E212">
        <v>3.7828979999999999</v>
      </c>
      <c r="F212">
        <v>3.6834519999999999</v>
      </c>
      <c r="G212">
        <v>2.0726999999999999E-2</v>
      </c>
      <c r="H212">
        <v>1.2921009999999999</v>
      </c>
    </row>
    <row r="213" spans="2:8" x14ac:dyDescent="0.75">
      <c r="B213" t="s">
        <v>118</v>
      </c>
      <c r="C213">
        <v>141.41550000000001</v>
      </c>
      <c r="D213">
        <v>129.65950000000001</v>
      </c>
      <c r="E213">
        <v>5.9374079999999996</v>
      </c>
      <c r="F213">
        <v>6.1506109999999996</v>
      </c>
      <c r="G213">
        <v>3.2016999999999997E-2</v>
      </c>
      <c r="H213">
        <v>1.8485309999999999</v>
      </c>
    </row>
    <row r="214" spans="2:8" x14ac:dyDescent="0.75">
      <c r="B214" t="s">
        <v>117</v>
      </c>
      <c r="C214">
        <v>213.65469999999999</v>
      </c>
      <c r="D214">
        <v>201.60210000000001</v>
      </c>
      <c r="E214">
        <v>8.9832059999999991</v>
      </c>
      <c r="F214">
        <v>9.4342570000000006</v>
      </c>
      <c r="G214">
        <v>4.9239999999999999E-2</v>
      </c>
      <c r="H214">
        <v>2.6733829999999998</v>
      </c>
    </row>
    <row r="216" spans="2:8" x14ac:dyDescent="0.75">
      <c r="B216" t="s">
        <v>243</v>
      </c>
      <c r="C216">
        <v>60.095100000000002</v>
      </c>
      <c r="D216">
        <v>42.702399999999997</v>
      </c>
      <c r="E216">
        <v>1.927125</v>
      </c>
      <c r="F216">
        <v>1.9178299999999999</v>
      </c>
      <c r="G216">
        <v>1.3200999999999999E-2</v>
      </c>
      <c r="H216">
        <v>0.77571299999999999</v>
      </c>
    </row>
    <row r="217" spans="2:8" x14ac:dyDescent="0.75">
      <c r="B217" t="s">
        <v>244</v>
      </c>
      <c r="C217">
        <v>60.98133</v>
      </c>
      <c r="D217">
        <v>43.442909999999998</v>
      </c>
      <c r="E217">
        <v>1.9589570000000001</v>
      </c>
      <c r="F217">
        <v>1.9474940000000001</v>
      </c>
      <c r="G217">
        <v>1.3388000000000001E-2</v>
      </c>
      <c r="H217">
        <v>0.785049</v>
      </c>
    </row>
    <row r="218" spans="2:8" x14ac:dyDescent="0.75">
      <c r="B218" t="s">
        <v>245</v>
      </c>
      <c r="C218">
        <v>68.31568</v>
      </c>
      <c r="D218">
        <v>48.101750000000003</v>
      </c>
      <c r="E218">
        <v>2.161216</v>
      </c>
      <c r="F218">
        <v>2.1412939999999998</v>
      </c>
      <c r="G218">
        <v>1.4978E-2</v>
      </c>
      <c r="H218">
        <v>0.87539500000000003</v>
      </c>
    </row>
    <row r="219" spans="2:8" x14ac:dyDescent="0.75">
      <c r="B219" t="s">
        <v>246</v>
      </c>
      <c r="C219" t="s">
        <v>247</v>
      </c>
      <c r="D219" t="s">
        <v>247</v>
      </c>
      <c r="E219" t="s">
        <v>247</v>
      </c>
      <c r="F219" t="s">
        <v>247</v>
      </c>
      <c r="G219" t="s">
        <v>247</v>
      </c>
      <c r="H219" t="s">
        <v>247</v>
      </c>
    </row>
    <row r="220" spans="2:8" x14ac:dyDescent="0.75">
      <c r="B220" t="s">
        <v>248</v>
      </c>
      <c r="C220">
        <v>63.302079999999997</v>
      </c>
      <c r="D220">
        <v>45.20355</v>
      </c>
      <c r="E220">
        <v>2.0257309999999999</v>
      </c>
      <c r="F220">
        <v>2.0021960000000001</v>
      </c>
      <c r="G220">
        <v>1.3868E-2</v>
      </c>
      <c r="H220">
        <v>0.80254199999999998</v>
      </c>
    </row>
    <row r="221" spans="2:8" x14ac:dyDescent="0.75">
      <c r="B221" t="s">
        <v>225</v>
      </c>
      <c r="C221">
        <v>61.355989999999998</v>
      </c>
      <c r="D221">
        <v>44.183619999999998</v>
      </c>
      <c r="E221">
        <v>1.984931</v>
      </c>
      <c r="F221">
        <v>1.9671609999999999</v>
      </c>
      <c r="G221">
        <v>1.3452E-2</v>
      </c>
      <c r="H221">
        <v>0.78166400000000003</v>
      </c>
    </row>
  </sheetData>
  <autoFilter ref="A5:G5" xr:uid="{7425E7F0-AA3E-4D9B-B642-07B909A68701}">
    <sortState xmlns:xlrd2="http://schemas.microsoft.com/office/spreadsheetml/2017/richdata2" ref="A6:G47">
      <sortCondition ref="B5"/>
    </sortState>
  </autoFilter>
  <sortState xmlns:xlrd2="http://schemas.microsoft.com/office/spreadsheetml/2017/richdata2" ref="B173:H215">
    <sortCondition ref="C173:C21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14FF-2115-4077-ADAB-6030F042966E}">
  <dimension ref="A2:G44"/>
  <sheetViews>
    <sheetView workbookViewId="0">
      <selection activeCell="A5" sqref="A5"/>
    </sheetView>
  </sheetViews>
  <sheetFormatPr defaultRowHeight="14.75" x14ac:dyDescent="0.75"/>
  <cols>
    <col min="1" max="1" width="33.1796875" customWidth="1"/>
  </cols>
  <sheetData>
    <row r="2" spans="1:7" x14ac:dyDescent="0.75">
      <c r="A2" s="8" t="s">
        <v>193</v>
      </c>
      <c r="B2" s="8" t="s">
        <v>194</v>
      </c>
      <c r="C2" s="8" t="s">
        <v>195</v>
      </c>
      <c r="D2" s="8" t="s">
        <v>196</v>
      </c>
      <c r="E2" s="8" t="s">
        <v>197</v>
      </c>
      <c r="F2" s="8" t="s">
        <v>198</v>
      </c>
      <c r="G2" s="8" t="s">
        <v>199</v>
      </c>
    </row>
    <row r="3" spans="1:7" x14ac:dyDescent="0.75">
      <c r="A3" t="s">
        <v>101</v>
      </c>
      <c r="B3">
        <v>52.322040000000001</v>
      </c>
      <c r="C3">
        <v>37.839500000000001</v>
      </c>
      <c r="D3">
        <v>1.7014959999999999</v>
      </c>
      <c r="E3">
        <v>1.697022</v>
      </c>
      <c r="F3">
        <v>1.15E-2</v>
      </c>
      <c r="G3">
        <v>0.65745699999999996</v>
      </c>
    </row>
    <row r="4" spans="1:7" x14ac:dyDescent="0.75">
      <c r="A4" t="s">
        <v>115</v>
      </c>
      <c r="B4">
        <v>56.973959999999998</v>
      </c>
      <c r="C4">
        <v>43.573680000000003</v>
      </c>
      <c r="D4">
        <v>1.8883239999999999</v>
      </c>
      <c r="E4">
        <v>1.8719539999999999</v>
      </c>
      <c r="F4">
        <v>1.2478E-2</v>
      </c>
      <c r="G4">
        <v>0.68310999999999999</v>
      </c>
    </row>
    <row r="5" spans="1:7" x14ac:dyDescent="0.75">
      <c r="A5" t="s">
        <v>113</v>
      </c>
      <c r="B5">
        <v>58.61647</v>
      </c>
      <c r="C5">
        <v>44.303260000000002</v>
      </c>
      <c r="D5">
        <v>2.043755</v>
      </c>
      <c r="E5">
        <v>2.073944</v>
      </c>
      <c r="F5">
        <v>1.2969E-2</v>
      </c>
      <c r="G5">
        <v>0.76244900000000004</v>
      </c>
    </row>
    <row r="6" spans="1:7" x14ac:dyDescent="0.75">
      <c r="A6" t="s">
        <v>223</v>
      </c>
      <c r="B6">
        <v>60.049799999999998</v>
      </c>
      <c r="C6">
        <v>48.765819999999998</v>
      </c>
      <c r="D6">
        <v>2.18899</v>
      </c>
      <c r="E6">
        <v>2.1747830000000001</v>
      </c>
      <c r="F6">
        <v>1.3147000000000001E-2</v>
      </c>
      <c r="G6">
        <v>0.76247600000000004</v>
      </c>
    </row>
    <row r="7" spans="1:7" x14ac:dyDescent="0.75">
      <c r="A7" t="s">
        <v>216</v>
      </c>
      <c r="B7">
        <v>60.223469999999999</v>
      </c>
      <c r="C7">
        <v>41.774880000000003</v>
      </c>
      <c r="D7">
        <v>1.9208909999999999</v>
      </c>
      <c r="E7">
        <v>1.923281</v>
      </c>
      <c r="F7">
        <v>1.3268E-2</v>
      </c>
      <c r="G7">
        <v>0.77910299999999999</v>
      </c>
    </row>
    <row r="8" spans="1:7" x14ac:dyDescent="0.75">
      <c r="A8" t="s">
        <v>221</v>
      </c>
      <c r="B8">
        <v>60.630699999999997</v>
      </c>
      <c r="C8">
        <v>49.306489999999997</v>
      </c>
      <c r="D8">
        <v>2.2942290000000001</v>
      </c>
      <c r="E8">
        <v>2.3325610000000001</v>
      </c>
      <c r="F8">
        <v>1.3436999999999999E-2</v>
      </c>
      <c r="G8">
        <v>0.82985799999999998</v>
      </c>
    </row>
    <row r="9" spans="1:7" x14ac:dyDescent="0.75">
      <c r="A9" t="s">
        <v>218</v>
      </c>
      <c r="B9">
        <v>62.881500000000003</v>
      </c>
      <c r="C9">
        <v>49.137360000000001</v>
      </c>
      <c r="D9">
        <v>2.1291760000000002</v>
      </c>
      <c r="E9">
        <v>2.1052789999999999</v>
      </c>
      <c r="F9">
        <v>1.3724E-2</v>
      </c>
      <c r="G9">
        <v>0.751803</v>
      </c>
    </row>
    <row r="10" spans="1:7" x14ac:dyDescent="0.75">
      <c r="A10" t="s">
        <v>208</v>
      </c>
      <c r="B10">
        <v>68.650779999999997</v>
      </c>
      <c r="C10">
        <v>52.744520000000001</v>
      </c>
      <c r="D10">
        <v>2.4170020000000001</v>
      </c>
      <c r="E10">
        <v>2.4084720000000002</v>
      </c>
      <c r="F10">
        <v>1.5091E-2</v>
      </c>
      <c r="G10">
        <v>0.89884900000000001</v>
      </c>
    </row>
    <row r="11" spans="1:7" x14ac:dyDescent="0.75">
      <c r="A11" t="s">
        <v>107</v>
      </c>
      <c r="B11">
        <v>68.847790000000003</v>
      </c>
      <c r="C11">
        <v>50.275320000000001</v>
      </c>
      <c r="D11">
        <v>2.3238110000000001</v>
      </c>
      <c r="E11">
        <v>2.3087979999999999</v>
      </c>
      <c r="F11">
        <v>1.5103999999999999E-2</v>
      </c>
      <c r="G11">
        <v>0.92436200000000002</v>
      </c>
    </row>
    <row r="12" spans="1:7" x14ac:dyDescent="0.75">
      <c r="A12" t="s">
        <v>210</v>
      </c>
      <c r="B12">
        <v>70.612399999999994</v>
      </c>
      <c r="C12">
        <v>49.47495</v>
      </c>
      <c r="D12">
        <v>2.256751</v>
      </c>
      <c r="E12">
        <v>2.235951</v>
      </c>
      <c r="F12">
        <v>1.5481999999999999E-2</v>
      </c>
      <c r="G12">
        <v>0.91834000000000005</v>
      </c>
    </row>
    <row r="13" spans="1:7" x14ac:dyDescent="0.75">
      <c r="A13" t="s">
        <v>109</v>
      </c>
      <c r="B13">
        <v>71.171270000000007</v>
      </c>
      <c r="C13">
        <v>46.356540000000003</v>
      </c>
      <c r="D13">
        <v>2.0878570000000001</v>
      </c>
      <c r="E13">
        <v>2.0659529999999999</v>
      </c>
      <c r="F13">
        <v>1.5616E-2</v>
      </c>
      <c r="G13">
        <v>0.90699799999999997</v>
      </c>
    </row>
    <row r="14" spans="1:7" x14ac:dyDescent="0.75">
      <c r="A14" t="s">
        <v>222</v>
      </c>
      <c r="B14">
        <v>72.216340000000002</v>
      </c>
      <c r="C14">
        <v>59.334440000000001</v>
      </c>
      <c r="D14">
        <v>2.7449659999999998</v>
      </c>
      <c r="E14">
        <v>2.799566</v>
      </c>
      <c r="F14">
        <v>1.6035000000000001E-2</v>
      </c>
      <c r="G14">
        <v>0.97874399999999995</v>
      </c>
    </row>
    <row r="15" spans="1:7" x14ac:dyDescent="0.75">
      <c r="A15" t="s">
        <v>203</v>
      </c>
      <c r="B15">
        <v>72.406300000000002</v>
      </c>
      <c r="C15">
        <v>51.802529999999997</v>
      </c>
      <c r="D15">
        <v>2.3858600000000001</v>
      </c>
      <c r="E15">
        <v>2.3856790000000001</v>
      </c>
      <c r="F15">
        <v>1.5916E-2</v>
      </c>
      <c r="G15">
        <v>0.96022200000000002</v>
      </c>
    </row>
    <row r="16" spans="1:7" x14ac:dyDescent="0.75">
      <c r="A16" t="s">
        <v>217</v>
      </c>
      <c r="B16">
        <v>72.682910000000007</v>
      </c>
      <c r="C16">
        <v>57.209159999999997</v>
      </c>
      <c r="D16">
        <v>2.64873</v>
      </c>
      <c r="E16">
        <v>2.6017399999999999</v>
      </c>
      <c r="F16">
        <v>1.5838000000000001E-2</v>
      </c>
      <c r="G16">
        <v>0.92719600000000002</v>
      </c>
    </row>
    <row r="17" spans="1:7" x14ac:dyDescent="0.75">
      <c r="A17" t="s">
        <v>102</v>
      </c>
      <c r="B17">
        <v>73.04083</v>
      </c>
      <c r="C17">
        <v>54.293840000000003</v>
      </c>
      <c r="D17">
        <v>2.5060959999999999</v>
      </c>
      <c r="E17">
        <v>2.546157</v>
      </c>
      <c r="F17">
        <v>1.6178000000000001E-2</v>
      </c>
      <c r="G17">
        <v>0.975352</v>
      </c>
    </row>
    <row r="18" spans="1:7" x14ac:dyDescent="0.75">
      <c r="A18" t="s">
        <v>219</v>
      </c>
      <c r="B18">
        <v>75.278440000000003</v>
      </c>
      <c r="C18">
        <v>56.23272</v>
      </c>
      <c r="D18">
        <v>2.5229210000000002</v>
      </c>
      <c r="E18">
        <v>2.4960339999999999</v>
      </c>
      <c r="F18">
        <v>1.6473000000000002E-2</v>
      </c>
      <c r="G18">
        <v>0.96024100000000001</v>
      </c>
    </row>
    <row r="19" spans="1:7" x14ac:dyDescent="0.75">
      <c r="A19" t="s">
        <v>96</v>
      </c>
      <c r="B19">
        <v>76.254360000000005</v>
      </c>
      <c r="C19">
        <v>58.441800000000001</v>
      </c>
      <c r="D19">
        <v>2.768907</v>
      </c>
      <c r="E19">
        <v>2.7675879999999999</v>
      </c>
      <c r="F19">
        <v>1.6763E-2</v>
      </c>
      <c r="G19">
        <v>1.016202</v>
      </c>
    </row>
    <row r="20" spans="1:7" x14ac:dyDescent="0.75">
      <c r="A20" t="s">
        <v>95</v>
      </c>
      <c r="B20">
        <v>76.321979999999996</v>
      </c>
      <c r="C20">
        <v>56.885429999999999</v>
      </c>
      <c r="D20">
        <v>2.6596549999999999</v>
      </c>
      <c r="E20">
        <v>2.650007</v>
      </c>
      <c r="F20">
        <v>1.6754999999999999E-2</v>
      </c>
      <c r="G20">
        <v>0.99795500000000004</v>
      </c>
    </row>
    <row r="21" spans="1:7" x14ac:dyDescent="0.75">
      <c r="A21" t="s">
        <v>122</v>
      </c>
      <c r="B21">
        <v>76.333240000000004</v>
      </c>
      <c r="C21">
        <v>56.618810000000003</v>
      </c>
      <c r="D21">
        <v>2.58684</v>
      </c>
      <c r="E21">
        <v>2.5459239999999999</v>
      </c>
      <c r="F21">
        <v>1.668E-2</v>
      </c>
      <c r="G21">
        <v>0.96825300000000003</v>
      </c>
    </row>
    <row r="22" spans="1:7" x14ac:dyDescent="0.75">
      <c r="A22" t="s">
        <v>111</v>
      </c>
      <c r="B22">
        <v>76.992109999999997</v>
      </c>
      <c r="C22">
        <v>61.748449999999998</v>
      </c>
      <c r="D22">
        <v>2.9255800000000001</v>
      </c>
      <c r="E22">
        <v>2.9338069999999998</v>
      </c>
      <c r="F22">
        <v>1.6930000000000001E-2</v>
      </c>
      <c r="G22">
        <v>1.044902</v>
      </c>
    </row>
    <row r="23" spans="1:7" x14ac:dyDescent="0.75">
      <c r="A23" t="s">
        <v>224</v>
      </c>
      <c r="B23">
        <v>77.520009999999999</v>
      </c>
      <c r="C23">
        <v>59.325539999999997</v>
      </c>
      <c r="D23">
        <v>2.7869380000000001</v>
      </c>
      <c r="E23">
        <v>2.7978649999999998</v>
      </c>
      <c r="F23">
        <v>1.7113E-2</v>
      </c>
      <c r="G23">
        <v>1.0386420000000001</v>
      </c>
    </row>
    <row r="24" spans="1:7" x14ac:dyDescent="0.75">
      <c r="A24" t="s">
        <v>207</v>
      </c>
      <c r="B24">
        <v>77.917450000000002</v>
      </c>
      <c r="C24">
        <v>58.810780000000001</v>
      </c>
      <c r="D24">
        <v>2.6665570000000001</v>
      </c>
      <c r="E24">
        <v>2.6700879999999998</v>
      </c>
      <c r="F24">
        <v>1.7193E-2</v>
      </c>
      <c r="G24">
        <v>1.017336</v>
      </c>
    </row>
    <row r="25" spans="1:7" x14ac:dyDescent="0.75">
      <c r="A25" t="s">
        <v>209</v>
      </c>
      <c r="B25">
        <v>78.18777</v>
      </c>
      <c r="C25">
        <v>54.546219999999998</v>
      </c>
      <c r="D25">
        <v>2.449211</v>
      </c>
      <c r="E25">
        <v>2.4165890000000001</v>
      </c>
      <c r="F25">
        <v>1.7118000000000001E-2</v>
      </c>
      <c r="G25">
        <v>1.0018069999999999</v>
      </c>
    </row>
    <row r="26" spans="1:7" x14ac:dyDescent="0.75">
      <c r="A26" t="s">
        <v>220</v>
      </c>
      <c r="B26">
        <v>78.233369999999994</v>
      </c>
      <c r="C26">
        <v>57.422699999999999</v>
      </c>
      <c r="D26">
        <v>2.555577</v>
      </c>
      <c r="E26">
        <v>2.5435509999999999</v>
      </c>
      <c r="F26">
        <v>1.7173999999999998E-2</v>
      </c>
      <c r="G26">
        <v>1.001673</v>
      </c>
    </row>
    <row r="27" spans="1:7" x14ac:dyDescent="0.75">
      <c r="A27" t="s">
        <v>202</v>
      </c>
      <c r="B27">
        <v>78.318730000000002</v>
      </c>
      <c r="C27">
        <v>56.187350000000002</v>
      </c>
      <c r="D27">
        <v>2.5326529999999998</v>
      </c>
      <c r="E27">
        <v>2.5162140000000002</v>
      </c>
      <c r="F27">
        <v>1.7174999999999999E-2</v>
      </c>
      <c r="G27">
        <v>1.0079910000000001</v>
      </c>
    </row>
    <row r="28" spans="1:7" x14ac:dyDescent="0.75">
      <c r="A28" t="s">
        <v>206</v>
      </c>
      <c r="B28">
        <v>79.043620000000004</v>
      </c>
      <c r="C28">
        <v>49.772889999999997</v>
      </c>
      <c r="D28">
        <v>2.1760169999999999</v>
      </c>
      <c r="E28">
        <v>2.124155</v>
      </c>
      <c r="F28">
        <v>1.7263000000000001E-2</v>
      </c>
      <c r="G28">
        <v>0.98676799999999998</v>
      </c>
    </row>
    <row r="29" spans="1:7" x14ac:dyDescent="0.75">
      <c r="A29" t="s">
        <v>205</v>
      </c>
      <c r="B29">
        <v>79.736519999999999</v>
      </c>
      <c r="C29">
        <v>55.747720000000001</v>
      </c>
      <c r="D29">
        <v>2.450472</v>
      </c>
      <c r="E29">
        <v>2.3947349999999998</v>
      </c>
      <c r="F29">
        <v>1.7371999999999999E-2</v>
      </c>
      <c r="G29">
        <v>0.98434699999999997</v>
      </c>
    </row>
    <row r="30" spans="1:7" x14ac:dyDescent="0.75">
      <c r="A30" t="s">
        <v>103</v>
      </c>
      <c r="B30">
        <v>79.78877</v>
      </c>
      <c r="C30">
        <v>59.680050000000001</v>
      </c>
      <c r="D30">
        <v>2.763077</v>
      </c>
      <c r="E30">
        <v>2.7474069999999999</v>
      </c>
      <c r="F30">
        <v>1.7500000000000002E-2</v>
      </c>
      <c r="G30">
        <v>1.0480210000000001</v>
      </c>
    </row>
    <row r="31" spans="1:7" x14ac:dyDescent="0.75">
      <c r="A31" t="s">
        <v>211</v>
      </c>
      <c r="B31">
        <v>81.998099999999994</v>
      </c>
      <c r="C31">
        <v>59.225320000000004</v>
      </c>
      <c r="D31">
        <v>2.6855739999999999</v>
      </c>
      <c r="E31">
        <v>2.62934</v>
      </c>
      <c r="F31">
        <v>1.7878999999999999E-2</v>
      </c>
      <c r="G31">
        <v>1.0364500000000001</v>
      </c>
    </row>
    <row r="32" spans="1:7" x14ac:dyDescent="0.75">
      <c r="A32" t="s">
        <v>100</v>
      </c>
      <c r="B32">
        <v>82.213399999999993</v>
      </c>
      <c r="C32">
        <v>59.137709999999998</v>
      </c>
      <c r="D32">
        <v>2.70377</v>
      </c>
      <c r="E32">
        <v>2.6749679999999998</v>
      </c>
      <c r="F32">
        <v>1.8016999999999998E-2</v>
      </c>
      <c r="G32">
        <v>1.0647139999999999</v>
      </c>
    </row>
    <row r="33" spans="1:7" x14ac:dyDescent="0.75">
      <c r="A33" t="s">
        <v>212</v>
      </c>
      <c r="B33">
        <v>82.948580000000007</v>
      </c>
      <c r="C33">
        <v>61.319000000000003</v>
      </c>
      <c r="D33">
        <v>2.8773550000000001</v>
      </c>
      <c r="E33">
        <v>2.8235839999999999</v>
      </c>
      <c r="F33">
        <v>1.8155999999999999E-2</v>
      </c>
      <c r="G33">
        <v>1.100444</v>
      </c>
    </row>
    <row r="34" spans="1:7" x14ac:dyDescent="0.75">
      <c r="A34" t="s">
        <v>214</v>
      </c>
      <c r="B34">
        <v>83.300319999999999</v>
      </c>
      <c r="C34">
        <v>57.406089999999999</v>
      </c>
      <c r="D34">
        <v>2.560819</v>
      </c>
      <c r="E34">
        <v>2.5183650000000002</v>
      </c>
      <c r="F34">
        <v>1.821E-2</v>
      </c>
      <c r="G34">
        <v>1.048762</v>
      </c>
    </row>
    <row r="35" spans="1:7" x14ac:dyDescent="0.75">
      <c r="A35" t="s">
        <v>200</v>
      </c>
      <c r="B35">
        <v>83.446330000000003</v>
      </c>
      <c r="C35">
        <v>63.13223</v>
      </c>
      <c r="D35">
        <v>2.970421</v>
      </c>
      <c r="E35">
        <v>2.9576630000000002</v>
      </c>
      <c r="F35">
        <v>1.8311000000000001E-2</v>
      </c>
      <c r="G35">
        <v>1.111615</v>
      </c>
    </row>
    <row r="36" spans="1:7" x14ac:dyDescent="0.75">
      <c r="A36" t="s">
        <v>105</v>
      </c>
      <c r="B36">
        <v>83.580340000000007</v>
      </c>
      <c r="C36">
        <v>61.370089999999998</v>
      </c>
      <c r="D36">
        <v>2.8202509999999998</v>
      </c>
      <c r="E36">
        <v>2.7956699999999999</v>
      </c>
      <c r="F36">
        <v>1.8325999999999999E-2</v>
      </c>
      <c r="G36">
        <v>1.0910759999999999</v>
      </c>
    </row>
    <row r="37" spans="1:7" x14ac:dyDescent="0.75">
      <c r="A37" t="s">
        <v>213</v>
      </c>
      <c r="B37">
        <v>84.959580000000003</v>
      </c>
      <c r="C37">
        <v>62.803489999999996</v>
      </c>
      <c r="D37">
        <v>2.8773469999999999</v>
      </c>
      <c r="E37">
        <v>2.8409599999999999</v>
      </c>
      <c r="F37">
        <v>1.8582999999999999E-2</v>
      </c>
      <c r="G37">
        <v>1.101845</v>
      </c>
    </row>
    <row r="38" spans="1:7" x14ac:dyDescent="0.75">
      <c r="A38" t="s">
        <v>201</v>
      </c>
      <c r="B38">
        <v>86.132320000000007</v>
      </c>
      <c r="C38">
        <v>57.396349999999998</v>
      </c>
      <c r="D38">
        <v>2.5658470000000002</v>
      </c>
      <c r="E38">
        <v>2.4975930000000002</v>
      </c>
      <c r="F38">
        <v>1.8773000000000001E-2</v>
      </c>
      <c r="G38">
        <v>1.0908610000000001</v>
      </c>
    </row>
    <row r="39" spans="1:7" x14ac:dyDescent="0.75">
      <c r="A39" t="s">
        <v>215</v>
      </c>
      <c r="B39">
        <v>86.578440000000001</v>
      </c>
      <c r="C39">
        <v>60.78304</v>
      </c>
      <c r="D39">
        <v>2.7205590000000002</v>
      </c>
      <c r="E39">
        <v>2.6597680000000001</v>
      </c>
      <c r="F39">
        <v>1.8877000000000001E-2</v>
      </c>
      <c r="G39">
        <v>1.0903579999999999</v>
      </c>
    </row>
    <row r="40" spans="1:7" x14ac:dyDescent="0.75">
      <c r="A40" t="s">
        <v>99</v>
      </c>
      <c r="B40">
        <v>87.559100000000001</v>
      </c>
      <c r="C40">
        <v>61.821370000000002</v>
      </c>
      <c r="D40">
        <v>2.813488</v>
      </c>
      <c r="E40">
        <v>2.771306</v>
      </c>
      <c r="F40">
        <v>1.9155999999999999E-2</v>
      </c>
      <c r="G40">
        <v>1.1257999999999999</v>
      </c>
    </row>
    <row r="41" spans="1:7" x14ac:dyDescent="0.75">
      <c r="A41" t="s">
        <v>116</v>
      </c>
      <c r="B41">
        <v>91.022090000000006</v>
      </c>
      <c r="C41">
        <v>78.904359999999997</v>
      </c>
      <c r="D41">
        <v>3.7532709999999998</v>
      </c>
      <c r="E41">
        <v>3.6581899999999998</v>
      </c>
      <c r="F41">
        <v>1.9698E-2</v>
      </c>
      <c r="G41">
        <v>1.2393240000000001</v>
      </c>
    </row>
    <row r="42" spans="1:7" x14ac:dyDescent="0.75">
      <c r="A42" t="s">
        <v>204</v>
      </c>
      <c r="B42">
        <v>95.735010000000003</v>
      </c>
      <c r="C42">
        <v>80.563010000000006</v>
      </c>
      <c r="D42">
        <v>3.7828979999999999</v>
      </c>
      <c r="E42">
        <v>3.6834519999999999</v>
      </c>
      <c r="F42">
        <v>2.0726999999999999E-2</v>
      </c>
      <c r="G42">
        <v>1.2921009999999999</v>
      </c>
    </row>
    <row r="43" spans="1:7" x14ac:dyDescent="0.75">
      <c r="A43" t="s">
        <v>118</v>
      </c>
      <c r="B43">
        <v>141.41550000000001</v>
      </c>
      <c r="C43">
        <v>129.65950000000001</v>
      </c>
      <c r="D43">
        <v>5.9374079999999996</v>
      </c>
      <c r="E43">
        <v>6.1506109999999996</v>
      </c>
      <c r="F43">
        <v>3.2016999999999997E-2</v>
      </c>
      <c r="G43">
        <v>1.8485309999999999</v>
      </c>
    </row>
    <row r="44" spans="1:7" x14ac:dyDescent="0.75">
      <c r="A44" t="s">
        <v>117</v>
      </c>
      <c r="B44">
        <v>213.65469999999999</v>
      </c>
      <c r="C44">
        <v>201.60210000000001</v>
      </c>
      <c r="D44">
        <v>8.9832049999999999</v>
      </c>
      <c r="E44">
        <v>9.4342559999999995</v>
      </c>
      <c r="F44">
        <v>4.9239999999999999E-2</v>
      </c>
      <c r="G44">
        <v>2.6733829999999998</v>
      </c>
    </row>
  </sheetData>
  <autoFilter ref="A2:G2" xr:uid="{C2C114FF-2115-4077-ADAB-6030F042966E}">
    <sortState xmlns:xlrd2="http://schemas.microsoft.com/office/spreadsheetml/2017/richdata2" ref="A3:G44">
      <sortCondition ref="B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34BA-809E-4792-A4B9-968D1478054A}">
  <sheetPr codeName="Sheet5"/>
  <dimension ref="B1:N47"/>
  <sheetViews>
    <sheetView topLeftCell="A16" workbookViewId="0">
      <selection activeCell="H48" sqref="H48"/>
    </sheetView>
  </sheetViews>
  <sheetFormatPr defaultRowHeight="14.75" x14ac:dyDescent="0.75"/>
  <cols>
    <col min="2" max="2" width="30.453125" customWidth="1"/>
    <col min="12" max="12" width="25.90625" bestFit="1" customWidth="1"/>
    <col min="13" max="13" width="16.7265625" customWidth="1"/>
    <col min="14" max="14" width="21.81640625" bestFit="1" customWidth="1"/>
  </cols>
  <sheetData>
    <row r="1" spans="2:14" ht="15.5" thickBot="1" x14ac:dyDescent="0.9"/>
    <row r="2" spans="2:14" ht="16.25" thickTop="1" thickBot="1" x14ac:dyDescent="0.9">
      <c r="B2" s="136"/>
      <c r="C2" s="138">
        <v>2023</v>
      </c>
      <c r="D2" s="139"/>
      <c r="E2" s="130">
        <v>2024</v>
      </c>
      <c r="F2" s="131"/>
    </row>
    <row r="3" spans="2:14" ht="15.5" thickBot="1" x14ac:dyDescent="0.9">
      <c r="B3" s="137"/>
      <c r="C3" s="62" t="s">
        <v>229</v>
      </c>
      <c r="D3" s="63" t="s">
        <v>230</v>
      </c>
      <c r="E3" s="64" t="s">
        <v>229</v>
      </c>
      <c r="F3" s="64" t="s">
        <v>230</v>
      </c>
    </row>
    <row r="4" spans="2:14" ht="15.5" thickTop="1" x14ac:dyDescent="0.75">
      <c r="B4" s="65" t="s">
        <v>231</v>
      </c>
      <c r="C4" s="66">
        <v>0.13700000000000001</v>
      </c>
      <c r="D4" s="67">
        <v>0.14799999999999999</v>
      </c>
      <c r="E4" s="68">
        <v>0.11700000000000001</v>
      </c>
      <c r="F4" s="68">
        <v>8.5999999999999993E-2</v>
      </c>
    </row>
    <row r="5" spans="2:14" x14ac:dyDescent="0.75">
      <c r="B5" s="65" t="s">
        <v>232</v>
      </c>
      <c r="C5" s="66">
        <v>9.4E-2</v>
      </c>
      <c r="D5" s="67">
        <v>0.106</v>
      </c>
      <c r="E5" s="68">
        <v>0.30299999999999999</v>
      </c>
      <c r="F5" s="68">
        <v>0.08</v>
      </c>
    </row>
    <row r="6" spans="2:14" x14ac:dyDescent="0.75">
      <c r="B6" s="69" t="s">
        <v>233</v>
      </c>
      <c r="C6" s="70">
        <v>0.121</v>
      </c>
      <c r="D6" s="71">
        <v>0.06</v>
      </c>
      <c r="E6" s="72">
        <v>0.123</v>
      </c>
      <c r="F6" s="72">
        <v>-1.0999999999999999E-2</v>
      </c>
    </row>
    <row r="7" spans="2:14" x14ac:dyDescent="0.75">
      <c r="B7" s="69" t="s">
        <v>234</v>
      </c>
      <c r="C7" s="70">
        <v>8.4000000000000005E-2</v>
      </c>
      <c r="D7" s="71">
        <v>0.122</v>
      </c>
      <c r="E7" s="72">
        <v>0.36699999999999999</v>
      </c>
      <c r="F7" s="72">
        <v>0.111</v>
      </c>
    </row>
    <row r="8" spans="2:14" ht="15.5" thickBot="1" x14ac:dyDescent="0.9">
      <c r="B8" s="65" t="s">
        <v>235</v>
      </c>
      <c r="C8" s="73">
        <v>0.27</v>
      </c>
      <c r="D8" s="74">
        <v>0.3</v>
      </c>
      <c r="E8" s="75">
        <v>0.39</v>
      </c>
      <c r="F8" s="75">
        <v>0.15</v>
      </c>
    </row>
    <row r="9" spans="2:14" ht="16.25" thickTop="1" thickBot="1" x14ac:dyDescent="0.9">
      <c r="B9" s="69" t="s">
        <v>233</v>
      </c>
      <c r="C9" s="70">
        <v>0.246</v>
      </c>
      <c r="D9" s="71">
        <v>0.224</v>
      </c>
      <c r="E9" s="72">
        <v>0.246</v>
      </c>
      <c r="F9" s="72">
        <v>0.105</v>
      </c>
      <c r="L9" s="136"/>
      <c r="M9" s="130">
        <v>2025</v>
      </c>
      <c r="N9" s="131"/>
    </row>
    <row r="10" spans="2:14" ht="15.5" thickBot="1" x14ac:dyDescent="0.9">
      <c r="B10" s="76" t="s">
        <v>234</v>
      </c>
      <c r="C10" s="77">
        <v>0.27300000000000002</v>
      </c>
      <c r="D10" s="78">
        <v>0.32600000000000001</v>
      </c>
      <c r="E10" s="79">
        <v>0.432</v>
      </c>
      <c r="F10" s="79">
        <v>0.16600000000000001</v>
      </c>
      <c r="L10" s="137"/>
      <c r="M10" s="64" t="s">
        <v>255</v>
      </c>
      <c r="N10" s="64" t="s">
        <v>256</v>
      </c>
    </row>
    <row r="11" spans="2:14" ht="15.5" thickTop="1" x14ac:dyDescent="0.75">
      <c r="L11" s="65" t="s">
        <v>231</v>
      </c>
      <c r="M11" s="68">
        <v>9.7060268588273768E-2</v>
      </c>
      <c r="N11" s="68">
        <v>8.5999999999999993E-2</v>
      </c>
    </row>
    <row r="12" spans="2:14" x14ac:dyDescent="0.75">
      <c r="L12" s="65" t="s">
        <v>232</v>
      </c>
      <c r="M12" s="68">
        <v>0.30299999999999999</v>
      </c>
      <c r="N12" s="68">
        <v>0.08</v>
      </c>
    </row>
    <row r="13" spans="2:14" x14ac:dyDescent="0.75">
      <c r="L13" s="69" t="s">
        <v>233</v>
      </c>
      <c r="M13" s="72">
        <v>0.123</v>
      </c>
      <c r="N13" s="72">
        <v>-1.0999999999999999E-2</v>
      </c>
    </row>
    <row r="14" spans="2:14" x14ac:dyDescent="0.75">
      <c r="L14" s="69" t="s">
        <v>234</v>
      </c>
      <c r="M14" s="72">
        <v>0.36699999999999999</v>
      </c>
      <c r="N14" s="72">
        <v>0.111</v>
      </c>
    </row>
    <row r="15" spans="2:14" x14ac:dyDescent="0.75">
      <c r="L15" s="65" t="s">
        <v>235</v>
      </c>
      <c r="M15" s="75">
        <v>0.39</v>
      </c>
      <c r="N15" s="75">
        <v>0.15</v>
      </c>
    </row>
    <row r="16" spans="2:14" x14ac:dyDescent="0.75">
      <c r="L16" s="69" t="s">
        <v>233</v>
      </c>
      <c r="M16" s="72">
        <v>0.246</v>
      </c>
      <c r="N16" s="72">
        <v>0.105</v>
      </c>
    </row>
    <row r="17" spans="3:14" ht="15.5" thickBot="1" x14ac:dyDescent="0.9">
      <c r="L17" s="76" t="s">
        <v>234</v>
      </c>
      <c r="M17" s="79">
        <v>0.432</v>
      </c>
      <c r="N17" s="79">
        <v>0.16600000000000001</v>
      </c>
    </row>
    <row r="18" spans="3:14" ht="15.5" thickTop="1" x14ac:dyDescent="0.75">
      <c r="C18" t="s">
        <v>69</v>
      </c>
      <c r="D18" t="s">
        <v>78</v>
      </c>
      <c r="E18" t="s">
        <v>80</v>
      </c>
      <c r="F18" t="s">
        <v>141</v>
      </c>
      <c r="G18" t="s">
        <v>142</v>
      </c>
      <c r="H18" t="s">
        <v>143</v>
      </c>
      <c r="I18" t="s">
        <v>83</v>
      </c>
      <c r="J18" t="s">
        <v>144</v>
      </c>
      <c r="K18" t="s">
        <v>84</v>
      </c>
      <c r="L18" t="s">
        <v>145</v>
      </c>
    </row>
    <row r="19" spans="3:14" x14ac:dyDescent="0.75">
      <c r="C19">
        <v>3431.1909999999998</v>
      </c>
      <c r="D19">
        <v>3440.8879999999999</v>
      </c>
      <c r="E19">
        <v>3508.7289999999998</v>
      </c>
      <c r="F19">
        <v>3398.424</v>
      </c>
      <c r="G19">
        <v>3393.8809999999999</v>
      </c>
      <c r="H19">
        <v>3384.2869999999998</v>
      </c>
      <c r="I19">
        <v>3319.7539999999999</v>
      </c>
      <c r="J19">
        <v>3389.5819999999999</v>
      </c>
      <c r="K19">
        <v>3307.0610000000001</v>
      </c>
      <c r="L19">
        <v>3297.2849999999999</v>
      </c>
    </row>
    <row r="21" spans="3:14" x14ac:dyDescent="0.75">
      <c r="C21" s="1">
        <v>9.0651938970120804E-2</v>
      </c>
      <c r="D21" s="1">
        <v>9.3734265734265687E-2</v>
      </c>
      <c r="E21" s="1">
        <v>0.11529847425301964</v>
      </c>
      <c r="F21" s="1">
        <v>8.023649078194528E-2</v>
      </c>
      <c r="G21" s="1">
        <v>7.8792434837889447E-2</v>
      </c>
      <c r="H21" s="1">
        <v>7.5742848061029822E-2</v>
      </c>
      <c r="I21" s="1">
        <v>5.5230133502860657E-2</v>
      </c>
      <c r="J21" s="1">
        <v>7.7425937698665015E-2</v>
      </c>
      <c r="K21" s="1">
        <v>5.1195486331850004E-2</v>
      </c>
      <c r="L21" s="1">
        <v>4.8088048315320986E-2</v>
      </c>
    </row>
    <row r="24" spans="3:14" x14ac:dyDescent="0.75">
      <c r="E24" t="s">
        <v>69</v>
      </c>
      <c r="F24" t="s">
        <v>78</v>
      </c>
      <c r="G24" t="s">
        <v>80</v>
      </c>
      <c r="H24" t="s">
        <v>141</v>
      </c>
      <c r="I24" t="s">
        <v>142</v>
      </c>
      <c r="J24" t="s">
        <v>143</v>
      </c>
      <c r="K24" t="s">
        <v>83</v>
      </c>
      <c r="L24" t="s">
        <v>144</v>
      </c>
      <c r="M24" t="s">
        <v>145</v>
      </c>
      <c r="N24" t="s">
        <v>146</v>
      </c>
    </row>
    <row r="25" spans="3:14" x14ac:dyDescent="0.75">
      <c r="E25">
        <v>3380.0340000000001</v>
      </c>
      <c r="F25">
        <v>3306.3270000000002</v>
      </c>
      <c r="G25">
        <v>3349.3249999999998</v>
      </c>
      <c r="H25">
        <v>3376.3939999999998</v>
      </c>
      <c r="I25">
        <v>3320.8009999999999</v>
      </c>
      <c r="J25">
        <v>3311.404</v>
      </c>
      <c r="K25">
        <v>3231.2420000000002</v>
      </c>
      <c r="L25">
        <v>3359.0610000000001</v>
      </c>
      <c r="M25">
        <v>3292.8850000000002</v>
      </c>
      <c r="N25">
        <v>3315.8240000000001</v>
      </c>
    </row>
    <row r="27" spans="3:14" x14ac:dyDescent="0.75">
      <c r="E27" s="1">
        <v>0.10711889944317066</v>
      </c>
      <c r="F27" s="1">
        <v>8.2976416639371164E-2</v>
      </c>
      <c r="G27" s="1">
        <v>9.7060268588273768E-2</v>
      </c>
      <c r="H27" s="1">
        <v>0.1059266295447101</v>
      </c>
      <c r="I27" s="1">
        <v>8.7717327219128727E-2</v>
      </c>
      <c r="J27" s="1">
        <v>8.4639371110383221E-2</v>
      </c>
      <c r="K27" s="1">
        <v>5.8382574516868679E-2</v>
      </c>
      <c r="L27" s="1">
        <v>0.10024926301998049</v>
      </c>
      <c r="M27" s="1">
        <v>7.8573534228627562E-2</v>
      </c>
      <c r="N27" s="1">
        <v>8.6087127415656717E-2</v>
      </c>
    </row>
    <row r="33" spans="11:14" ht="15.5" thickBot="1" x14ac:dyDescent="0.9"/>
    <row r="34" spans="11:14" ht="16.25" thickTop="1" thickBot="1" x14ac:dyDescent="0.9">
      <c r="K34" s="117"/>
      <c r="L34" s="132"/>
      <c r="M34" s="134">
        <v>2025</v>
      </c>
      <c r="N34" s="135"/>
    </row>
    <row r="35" spans="11:14" ht="16.25" thickTop="1" thickBot="1" x14ac:dyDescent="0.9">
      <c r="K35" s="117"/>
      <c r="L35" s="133"/>
      <c r="M35" s="120" t="s">
        <v>257</v>
      </c>
      <c r="N35" s="121" t="s">
        <v>256</v>
      </c>
    </row>
    <row r="36" spans="11:14" ht="15.5" thickTop="1" x14ac:dyDescent="0.75">
      <c r="K36" s="117"/>
      <c r="L36" s="8" t="s">
        <v>69</v>
      </c>
      <c r="M36" s="122">
        <v>0.10711889944317066</v>
      </c>
      <c r="N36" s="123">
        <v>9.0651938970120804E-2</v>
      </c>
    </row>
    <row r="37" spans="11:14" x14ac:dyDescent="0.75">
      <c r="K37" s="117"/>
      <c r="L37" s="65" t="s">
        <v>231</v>
      </c>
      <c r="M37" s="122">
        <v>9.7060268588273768E-2</v>
      </c>
      <c r="N37" s="123">
        <v>0.11529847425301964</v>
      </c>
    </row>
    <row r="38" spans="11:14" x14ac:dyDescent="0.75">
      <c r="K38" s="117"/>
      <c r="L38" s="119" t="s">
        <v>78</v>
      </c>
      <c r="M38" s="122">
        <v>8.2976416639371164E-2</v>
      </c>
      <c r="N38" s="123">
        <v>9.3734265734265687E-2</v>
      </c>
    </row>
    <row r="39" spans="11:14" x14ac:dyDescent="0.75">
      <c r="K39" s="117"/>
      <c r="L39" s="116" t="s">
        <v>141</v>
      </c>
      <c r="M39" s="122">
        <v>0.1059266295447101</v>
      </c>
      <c r="N39" s="123">
        <v>8.023649078194528E-2</v>
      </c>
    </row>
    <row r="40" spans="11:14" x14ac:dyDescent="0.75">
      <c r="K40" s="117"/>
      <c r="L40" s="116" t="s">
        <v>142</v>
      </c>
      <c r="M40" s="122">
        <v>8.7717327219128727E-2</v>
      </c>
      <c r="N40" s="123">
        <v>7.8792434837889447E-2</v>
      </c>
    </row>
    <row r="41" spans="11:14" x14ac:dyDescent="0.75">
      <c r="K41" s="117"/>
      <c r="L41" s="116" t="s">
        <v>143</v>
      </c>
      <c r="M41" s="122">
        <v>8.4639371110383221E-2</v>
      </c>
      <c r="N41" s="123">
        <v>7.5742848061029822E-2</v>
      </c>
    </row>
    <row r="42" spans="11:14" x14ac:dyDescent="0.75">
      <c r="K42" s="117"/>
      <c r="L42" s="116" t="s">
        <v>83</v>
      </c>
      <c r="M42" s="122">
        <v>5.8382574516868679E-2</v>
      </c>
      <c r="N42" s="123">
        <v>5.5230133502860657E-2</v>
      </c>
    </row>
    <row r="43" spans="11:14" x14ac:dyDescent="0.75">
      <c r="K43" s="117"/>
      <c r="L43" s="116" t="s">
        <v>144</v>
      </c>
      <c r="M43" s="122">
        <v>0.10024926301998049</v>
      </c>
      <c r="N43" s="123">
        <v>7.7425937698665015E-2</v>
      </c>
    </row>
    <row r="44" spans="11:14" x14ac:dyDescent="0.75">
      <c r="K44" s="117"/>
      <c r="L44" s="116" t="s">
        <v>84</v>
      </c>
      <c r="M44" s="122">
        <v>6.9161480510972817E-2</v>
      </c>
      <c r="N44" s="123">
        <v>5.1195486331850004E-2</v>
      </c>
    </row>
    <row r="45" spans="11:14" x14ac:dyDescent="0.75">
      <c r="K45" s="117"/>
      <c r="L45" s="116" t="s">
        <v>145</v>
      </c>
      <c r="M45" s="122">
        <v>7.8573534228627562E-2</v>
      </c>
      <c r="N45" s="123">
        <v>4.8088048315320986E-2</v>
      </c>
    </row>
    <row r="46" spans="11:14" ht="15.5" thickBot="1" x14ac:dyDescent="0.9">
      <c r="K46" s="117"/>
      <c r="L46" s="118" t="s">
        <v>146</v>
      </c>
      <c r="M46" s="124">
        <v>8.6087127415656717E-2</v>
      </c>
      <c r="N46" s="125">
        <v>7.6481881754609127E-2</v>
      </c>
    </row>
    <row r="47" spans="11:14" ht="15.5" thickTop="1" x14ac:dyDescent="0.75"/>
  </sheetData>
  <mergeCells count="7">
    <mergeCell ref="M9:N9"/>
    <mergeCell ref="L34:L35"/>
    <mergeCell ref="M34:N34"/>
    <mergeCell ref="B2:B3"/>
    <mergeCell ref="C2:D2"/>
    <mergeCell ref="E2:F2"/>
    <mergeCell ref="L9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2025Q1&amp;Q2</vt:lpstr>
      <vt:lpstr>Derivation of GDP CP</vt:lpstr>
      <vt:lpstr>Sheet1</vt:lpstr>
      <vt:lpstr>Seasonally adj series</vt:lpstr>
      <vt:lpstr>selection</vt:lpstr>
      <vt:lpstr>Sheet2</vt:lpstr>
      <vt:lpstr>for Econ Brief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2025-09-22T19:41:51Z</dcterms:modified>
</cp:coreProperties>
</file>